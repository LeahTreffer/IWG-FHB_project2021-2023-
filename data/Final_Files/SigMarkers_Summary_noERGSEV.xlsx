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leahtreffer/GitHub/IWG-FHB_project2021-2023/data/Final_Files/"/>
    </mc:Choice>
  </mc:AlternateContent>
  <xr:revisionPtr revIDLastSave="0" documentId="13_ncr:1_{8599989C-20EC-624F-A90B-CABDC0690AC6}" xr6:coauthVersionLast="47" xr6:coauthVersionMax="47" xr10:uidLastSave="{00000000-0000-0000-0000-000000000000}"/>
  <bookViews>
    <workbookView xWindow="14300" yWindow="760" windowWidth="15100" windowHeight="17140" xr2:uid="{CA4AC747-58B6-4F4D-85F5-D18DCBDE4612}"/>
  </bookViews>
  <sheets>
    <sheet name="SigLoci|Trait" sheetId="1" r:id="rId1"/>
    <sheet name="Sheet1" sheetId="2" r:id="rId2"/>
  </sheets>
  <definedNames>
    <definedName name="_xlnm._FilterDatabase" localSheetId="1" hidden="1">Sheet1!$A$1:$BA$260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2" i="2" l="1"/>
</calcChain>
</file>

<file path=xl/sharedStrings.xml><?xml version="1.0" encoding="utf-8"?>
<sst xmlns="http://schemas.openxmlformats.org/spreadsheetml/2006/main" count="5201" uniqueCount="946">
  <si>
    <t>SNP</t>
  </si>
  <si>
    <t>Chr</t>
  </si>
  <si>
    <t>Pos</t>
  </si>
  <si>
    <t>alleles</t>
  </si>
  <si>
    <t>Ref</t>
  </si>
  <si>
    <t>ALT</t>
  </si>
  <si>
    <t>MinorAllele</t>
  </si>
  <si>
    <t>trait</t>
  </si>
  <si>
    <t>plot</t>
  </si>
  <si>
    <t>P.value</t>
  </si>
  <si>
    <t>MAF</t>
  </si>
  <si>
    <t>nobs</t>
  </si>
  <si>
    <t>Effect</t>
  </si>
  <si>
    <t>H.B.P.Value</t>
  </si>
  <si>
    <t>PVE</t>
  </si>
  <si>
    <t>GG</t>
  </si>
  <si>
    <t>AG</t>
  </si>
  <si>
    <t>AA</t>
  </si>
  <si>
    <t>CG</t>
  </si>
  <si>
    <t>CC</t>
  </si>
  <si>
    <t>TT</t>
  </si>
  <si>
    <t>GT</t>
  </si>
  <si>
    <t>CT</t>
  </si>
  <si>
    <t>AT</t>
  </si>
  <si>
    <t>AC</t>
  </si>
  <si>
    <t>genotypic_frequency.CT</t>
  </si>
  <si>
    <t>genotypic_frequency.CC</t>
  </si>
  <si>
    <t>genotypic_frequency.TT</t>
  </si>
  <si>
    <t>genotypic_frequency.AT</t>
  </si>
  <si>
    <t>genotypic_frequency.AA</t>
  </si>
  <si>
    <t>genotypic_frequency.AG</t>
  </si>
  <si>
    <t>genotypic_frequency.GG</t>
  </si>
  <si>
    <t>genotypic_frequency.CG</t>
  </si>
  <si>
    <t>genotypic_frequency.AC</t>
  </si>
  <si>
    <t>genotypic_frequency.GT</t>
  </si>
  <si>
    <t>allelic_frequency.A</t>
  </si>
  <si>
    <t>allelic_frequency.T</t>
  </si>
  <si>
    <t>allelic_frequency.G</t>
  </si>
  <si>
    <t>allelic_frequency.C</t>
  </si>
  <si>
    <t>PhentypicMeanMinorHomozygous</t>
  </si>
  <si>
    <t>PhentypicMeanHeterozygous</t>
  </si>
  <si>
    <t>PhentypicMeanMajorHomozygous</t>
  </si>
  <si>
    <t>SJ01_10162383</t>
  </si>
  <si>
    <t>J01</t>
  </si>
  <si>
    <t>C/G</t>
  </si>
  <si>
    <t>C</t>
  </si>
  <si>
    <t>G</t>
  </si>
  <si>
    <t>SPKDEN</t>
  </si>
  <si>
    <t>C07_SAL_2018</t>
  </si>
  <si>
    <t>7.65634764747262e-09</t>
  </si>
  <si>
    <t>6.13790250028761e-05</t>
  </si>
  <si>
    <t>SJ01_400972679</t>
  </si>
  <si>
    <t>G/A</t>
  </si>
  <si>
    <t>A</t>
  </si>
  <si>
    <t>4.35929953200695e-08</t>
  </si>
  <si>
    <t>NA</t>
  </si>
  <si>
    <t>SJ03_118524570</t>
  </si>
  <si>
    <t>J03</t>
  </si>
  <si>
    <t>G/T</t>
  </si>
  <si>
    <t>T</t>
  </si>
  <si>
    <t>5.05733743799555e-09</t>
  </si>
  <si>
    <t>5.48810263491918e-05</t>
  </si>
  <si>
    <t>SJ03_598048237</t>
  </si>
  <si>
    <t>5.13434618291625e-09</t>
  </si>
  <si>
    <t>8.07961870048161e-07</t>
  </si>
  <si>
    <t>SS04_329197898</t>
  </si>
  <si>
    <t>S04</t>
  </si>
  <si>
    <t>A/G</t>
  </si>
  <si>
    <t>1.46972748991381e-06</t>
  </si>
  <si>
    <t>SS07_134934580</t>
  </si>
  <si>
    <t>S07</t>
  </si>
  <si>
    <t>C/T</t>
  </si>
  <si>
    <t>8.87725836680427e-08</t>
  </si>
  <si>
    <t>SV01_7732815</t>
  </si>
  <si>
    <t>V01</t>
  </si>
  <si>
    <t>1.32234741374721e-06</t>
  </si>
  <si>
    <t>SV02_172479310</t>
  </si>
  <si>
    <t>V02</t>
  </si>
  <si>
    <t>4.03820951541766e-11</t>
  </si>
  <si>
    <t>1.29493264530898e-06</t>
  </si>
  <si>
    <t>SV04_80560865</t>
  </si>
  <si>
    <t>V04</t>
  </si>
  <si>
    <t>1.64393783930772e-07</t>
  </si>
  <si>
    <t>2.25573404010052e-07</t>
  </si>
  <si>
    <t>SJ01_320309248</t>
  </si>
  <si>
    <t>A/C</t>
  </si>
  <si>
    <t>FHBDON</t>
  </si>
  <si>
    <t>2.09438998597434e-08</t>
  </si>
  <si>
    <t>2.16125687909282e-07</t>
  </si>
  <si>
    <t>SJ02_140707817</t>
  </si>
  <si>
    <t>J02</t>
  </si>
  <si>
    <t>9.79325146682058e-08</t>
  </si>
  <si>
    <t>4.72901920638809e-08</t>
  </si>
  <si>
    <t>SJ03_533092483</t>
  </si>
  <si>
    <t>1.34457584326636e-13</t>
  </si>
  <si>
    <t>4.31165135660225e-09</t>
  </si>
  <si>
    <t>SS02_476215400</t>
  </si>
  <si>
    <t>S02</t>
  </si>
  <si>
    <t>3.16452944900916e-08</t>
  </si>
  <si>
    <t>SS05_332031903</t>
  </si>
  <si>
    <t>S05</t>
  </si>
  <si>
    <t>2.556626673215e-10</t>
  </si>
  <si>
    <t>4.09916737649927e-06</t>
  </si>
  <si>
    <t>4.38130809034432e-07</t>
  </si>
  <si>
    <t>SS06_83112789</t>
  </si>
  <si>
    <t>S06</t>
  </si>
  <si>
    <t>1.97825706388623e-07</t>
  </si>
  <si>
    <t>SV03_478717202</t>
  </si>
  <si>
    <t>V03</t>
  </si>
  <si>
    <t>T/C</t>
  </si>
  <si>
    <t>9.39950610383859e-09</t>
  </si>
  <si>
    <t>1.95323285324458e-06</t>
  </si>
  <si>
    <t>SV07_664789157</t>
  </si>
  <si>
    <t>V07</t>
  </si>
  <si>
    <t>9.24615812051142e-07</t>
  </si>
  <si>
    <t>2.84050147575554e-07</t>
  </si>
  <si>
    <t>SJ02_627219003</t>
  </si>
  <si>
    <t>HDANG</t>
  </si>
  <si>
    <t>1.17867596661602e-08</t>
  </si>
  <si>
    <t>SJ05_468911509</t>
  </si>
  <si>
    <t>J05</t>
  </si>
  <si>
    <t>1.43968653284414e-07</t>
  </si>
  <si>
    <t>SJ06_546958441</t>
  </si>
  <si>
    <t>J06</t>
  </si>
  <si>
    <t>5.43556953546623e-08</t>
  </si>
  <si>
    <t>9.20089189569857e-07</t>
  </si>
  <si>
    <t>SJ06_547551925</t>
  </si>
  <si>
    <t>C/A</t>
  </si>
  <si>
    <t>1.71481502481166e-09</t>
  </si>
  <si>
    <t>5.49889734006355e-05</t>
  </si>
  <si>
    <t>SS04_75793122</t>
  </si>
  <si>
    <t>9.86852813214994e-08</t>
  </si>
  <si>
    <t>SS07_384868013</t>
  </si>
  <si>
    <t>1.31173697515878e-08</t>
  </si>
  <si>
    <t>SJ02_680787718</t>
  </si>
  <si>
    <t>STMANG</t>
  </si>
  <si>
    <t>7.05627434727473e-08</t>
  </si>
  <si>
    <t>SJ04_4086382</t>
  </si>
  <si>
    <t>J04</t>
  </si>
  <si>
    <t>G/C</t>
  </si>
  <si>
    <t>1.17722485842532e-08</t>
  </si>
  <si>
    <t>SJ05_43784785</t>
  </si>
  <si>
    <t>FHBD3G.DON</t>
  </si>
  <si>
    <t>1.35847861340969e-09</t>
  </si>
  <si>
    <t>4.35623336962086e-05</t>
  </si>
  <si>
    <t>SS04_70589221</t>
  </si>
  <si>
    <t>7.43234348795253e-08</t>
  </si>
  <si>
    <t>SV02_394911464</t>
  </si>
  <si>
    <t>6.72625156931436e-08</t>
  </si>
  <si>
    <t>SV02_590255485</t>
  </si>
  <si>
    <t>9.76635206883979e-07</t>
  </si>
  <si>
    <t>SJ07_110440439</t>
  </si>
  <si>
    <t>J07</t>
  </si>
  <si>
    <t>SPKYLD</t>
  </si>
  <si>
    <t>9.23534116430946e-07</t>
  </si>
  <si>
    <t>SJ07_441485323</t>
  </si>
  <si>
    <t>T/A</t>
  </si>
  <si>
    <t>3.18622206532112e-15</t>
  </si>
  <si>
    <t>1.02172582968652e-10</t>
  </si>
  <si>
    <t>SS01_69927979</t>
  </si>
  <si>
    <t>S01</t>
  </si>
  <si>
    <t>4.77021638253521e-07</t>
  </si>
  <si>
    <t>SS06_24099466</t>
  </si>
  <si>
    <t>2.06987319258984e-07</t>
  </si>
  <si>
    <t>SS07_133393354</t>
  </si>
  <si>
    <t>1.43329207065333e-06</t>
  </si>
  <si>
    <t>SV01_206124266</t>
  </si>
  <si>
    <t>9.20170791276739e-07</t>
  </si>
  <si>
    <t>SV06_102610885</t>
  </si>
  <si>
    <t>V06</t>
  </si>
  <si>
    <t>2.15269249931252e-08</t>
  </si>
  <si>
    <t>8.30999934109041e-08</t>
  </si>
  <si>
    <t>SJ07_60561704</t>
  </si>
  <si>
    <t>PTHT</t>
  </si>
  <si>
    <t>8.22423829170307e-07</t>
  </si>
  <si>
    <t>SS07_129127730</t>
  </si>
  <si>
    <t>2.71117008596275e-08</t>
  </si>
  <si>
    <t>SV04_405883624</t>
  </si>
  <si>
    <t>5.97290296441234e-08</t>
  </si>
  <si>
    <t>2.76095316536566e-08</t>
  </si>
  <si>
    <t>SJ01_158429406</t>
  </si>
  <si>
    <t>C07_SAL_2019</t>
  </si>
  <si>
    <t>3.7964284418337e-07</t>
  </si>
  <si>
    <t>SJ04_94758098</t>
  </si>
  <si>
    <t>2.38151897226473e-08</t>
  </si>
  <si>
    <t>SS01_243368005</t>
  </si>
  <si>
    <t>3.10204208506775e-08</t>
  </si>
  <si>
    <t>SS01_322704032</t>
  </si>
  <si>
    <t>1.71206751138521e-07</t>
  </si>
  <si>
    <t>SS02_358044988</t>
  </si>
  <si>
    <t>8.38652035528305e-07</t>
  </si>
  <si>
    <t>1.18963580484514e-08</t>
  </si>
  <si>
    <t>SS05_39707358</t>
  </si>
  <si>
    <t>3.09462753310448e-08</t>
  </si>
  <si>
    <t>9.99764969914348e-09</t>
  </si>
  <si>
    <t>SS07_397077923</t>
  </si>
  <si>
    <t>4.426183189084e-08</t>
  </si>
  <si>
    <t>SV05_560816755</t>
  </si>
  <si>
    <t>V05</t>
  </si>
  <si>
    <t>1.15931918881977e-08</t>
  </si>
  <si>
    <t>SJ01_222837735</t>
  </si>
  <si>
    <t>5.02153005647545e-07</t>
  </si>
  <si>
    <t>SJ02_161464914</t>
  </si>
  <si>
    <t>5.28840884367871e-07</t>
  </si>
  <si>
    <t>SJ07_558194717</t>
  </si>
  <si>
    <t>1.76856390581958e-35</t>
  </si>
  <si>
    <t>5.67125387679164e-31</t>
  </si>
  <si>
    <t>SS01_223162383</t>
  </si>
  <si>
    <t>2.47398385344526e-07</t>
  </si>
  <si>
    <t>SS01_288544736</t>
  </si>
  <si>
    <t>1.41854739265612e-06</t>
  </si>
  <si>
    <t>SS02_103469367</t>
  </si>
  <si>
    <t>1.13308976259862e-06</t>
  </si>
  <si>
    <t>SJ02_170760275</t>
  </si>
  <si>
    <t>ZDK</t>
  </si>
  <si>
    <t>6.21595616282965e-07</t>
  </si>
  <si>
    <t>SJ03_614622642</t>
  </si>
  <si>
    <t>1.71464629414704e-11</t>
  </si>
  <si>
    <t>5.49835627144131e-07</t>
  </si>
  <si>
    <t>SS02_100855672</t>
  </si>
  <si>
    <t>1.259683494122e-06</t>
  </si>
  <si>
    <t>SS02_393839387</t>
  </si>
  <si>
    <t>2.2635927947815e-08</t>
  </si>
  <si>
    <t>SS03_140782902</t>
  </si>
  <si>
    <t>S03</t>
  </si>
  <si>
    <t>T/G</t>
  </si>
  <si>
    <t>1.02211554264226e-06</t>
  </si>
  <si>
    <t>SS07_437775861</t>
  </si>
  <si>
    <t>9.27366561525538e-11</t>
  </si>
  <si>
    <t>1.48689317642197e-06</t>
  </si>
  <si>
    <t>2.16356605896937e-08</t>
  </si>
  <si>
    <t>SV01_448933298</t>
  </si>
  <si>
    <t>8.55332413335319e-08</t>
  </si>
  <si>
    <t>SJ02_629468571</t>
  </si>
  <si>
    <t>HSATIVLSEV</t>
  </si>
  <si>
    <t>3.93575739695235e-09</t>
  </si>
  <si>
    <t>SJ04_42387257</t>
  </si>
  <si>
    <t>6.76430789547936e-08</t>
  </si>
  <si>
    <t>SS03_71788959</t>
  </si>
  <si>
    <t>3.1930238964621e-07</t>
  </si>
  <si>
    <t>SS05_62913669</t>
  </si>
  <si>
    <t>1.22928054659772e-06</t>
  </si>
  <si>
    <t>SS07_308051477</t>
  </si>
  <si>
    <t>3.69300619830048e-07</t>
  </si>
  <si>
    <t>SJ02_80542653</t>
  </si>
  <si>
    <t>9.59863821325802e-07</t>
  </si>
  <si>
    <t>SJ03_626554531</t>
  </si>
  <si>
    <t>8.35928214479978e-11</t>
  </si>
  <si>
    <t>1.34028550268647e-06</t>
  </si>
  <si>
    <t>SS05_89380677</t>
  </si>
  <si>
    <t>4.72373815008549e-07</t>
  </si>
  <si>
    <t>SV05_543093563</t>
  </si>
  <si>
    <t>1.1016894153467e-13</t>
  </si>
  <si>
    <t>3.53278744819225e-09</t>
  </si>
  <si>
    <t>SS07_402885068</t>
  </si>
  <si>
    <t>GLBLSEV</t>
  </si>
  <si>
    <t>1.25044883073344e-07</t>
  </si>
  <si>
    <t>FHBD3G</t>
  </si>
  <si>
    <t>6.53876372076326e-07</t>
  </si>
  <si>
    <t>C07_SAL_2020</t>
  </si>
  <si>
    <t>A/T</t>
  </si>
  <si>
    <t>SJ01_535344826</t>
  </si>
  <si>
    <t>SPKHD</t>
  </si>
  <si>
    <t>3.21741566122054e-07</t>
  </si>
  <si>
    <t>SJ04_443970274</t>
  </si>
  <si>
    <t>7.47897870375915e-07</t>
  </si>
  <si>
    <t>SJ06_182383764</t>
  </si>
  <si>
    <t>1.56935745606634e-07</t>
  </si>
  <si>
    <t>SJ06_233909510</t>
  </si>
  <si>
    <t>2.24756275798588e-08</t>
  </si>
  <si>
    <t>4.84195786644746e-08</t>
  </si>
  <si>
    <t>SS02_60814509</t>
  </si>
  <si>
    <t>1.20698916054942e-12</t>
  </si>
  <si>
    <t>3.87045214113382e-08</t>
  </si>
  <si>
    <t>SS07_431676369</t>
  </si>
  <si>
    <t>1.43724956134622e-06</t>
  </si>
  <si>
    <t>8.4385029167917e-08</t>
  </si>
  <si>
    <t>SV03_342354337</t>
  </si>
  <si>
    <t>5.09212837243317e-09</t>
  </si>
  <si>
    <t>8.16446402594072e-05</t>
  </si>
  <si>
    <t>SJ01_54110313</t>
  </si>
  <si>
    <t>1.10081913113177e-06</t>
  </si>
  <si>
    <t>SJ07_38100803</t>
  </si>
  <si>
    <t>3.99981059055822e-07</t>
  </si>
  <si>
    <t>SS02_443036385</t>
  </si>
  <si>
    <t>4.85571964763768e-09</t>
  </si>
  <si>
    <t>7.78541809703988e-05</t>
  </si>
  <si>
    <t>SS06_325276373</t>
  </si>
  <si>
    <t>4.54305367721134e-07</t>
  </si>
  <si>
    <t>SV03_334163944</t>
  </si>
  <si>
    <t>6.4508814402995e-10</t>
  </si>
  <si>
    <t>2.06860415146084e-05</t>
  </si>
  <si>
    <t>SJ02_535136401</t>
  </si>
  <si>
    <t>1.56265092680306e-24</t>
  </si>
  <si>
    <t>5.01095272697937e-20</t>
  </si>
  <si>
    <t>SJ03_111371772</t>
  </si>
  <si>
    <t>5.02482291191527e-18</t>
  </si>
  <si>
    <t>4.02827490790968e-14</t>
  </si>
  <si>
    <t>SJ03_23619855</t>
  </si>
  <si>
    <t>1.65314094207023e-12</t>
  </si>
  <si>
    <t>7.57303865562372e-09</t>
  </si>
  <si>
    <t>SJ07_537457347</t>
  </si>
  <si>
    <t>2.31351246856695e-11</t>
  </si>
  <si>
    <t>9.27342554119207e-08</t>
  </si>
  <si>
    <t>SS01_289224236</t>
  </si>
  <si>
    <t>9.40493643806378e-07</t>
  </si>
  <si>
    <t>SS02_105621999</t>
  </si>
  <si>
    <t>2.59691672439799e-19</t>
  </si>
  <si>
    <t>2.77584428670901e-15</t>
  </si>
  <si>
    <t>SS05_151631442</t>
  </si>
  <si>
    <t>1.03909678132689e-12</t>
  </si>
  <si>
    <t>5.55345274780155e-09</t>
  </si>
  <si>
    <t>SS06_329485557</t>
  </si>
  <si>
    <t>5.70331881482668e-08</t>
  </si>
  <si>
    <t>1.29874673029611e-13</t>
  </si>
  <si>
    <t>8.32938228008106e-10</t>
  </si>
  <si>
    <t>SV07_202019831</t>
  </si>
  <si>
    <t>1.43542630881417e-22</t>
  </si>
  <si>
    <t>2.3014907722372e-18</t>
  </si>
  <si>
    <t>SJ03_84673435</t>
  </si>
  <si>
    <t>5.27639396985606e-09</t>
  </si>
  <si>
    <t>5.63993751437914e-05</t>
  </si>
  <si>
    <t>SJ04_507780718</t>
  </si>
  <si>
    <t>9.66008616995549e-08</t>
  </si>
  <si>
    <t>SJ05_478511163</t>
  </si>
  <si>
    <t>7.53671339926861e-08</t>
  </si>
  <si>
    <t>SJ06_541253677</t>
  </si>
  <si>
    <t>1.05031078680355e-06</t>
  </si>
  <si>
    <t>SV04_397784395</t>
  </si>
  <si>
    <t>1.71210531650031e-09</t>
  </si>
  <si>
    <t>2.74510405921077e-05</t>
  </si>
  <si>
    <t>SV07_222819554</t>
  </si>
  <si>
    <t>5.82632423251679e-13</t>
  </si>
  <si>
    <t>1.86832739164116e-08</t>
  </si>
  <si>
    <t>SJ05_317782015</t>
  </si>
  <si>
    <t>7.19297019311516e-07</t>
  </si>
  <si>
    <t>SJ03_302994249</t>
  </si>
  <si>
    <t>FHBSPKINC</t>
  </si>
  <si>
    <t>C10_OLA_2021</t>
  </si>
  <si>
    <t>1.86822793138239e-10</t>
  </si>
  <si>
    <t>5.9908465075639e-06</t>
  </si>
  <si>
    <t>SJ03_315074803</t>
  </si>
  <si>
    <t>1.14366305050453e-07</t>
  </si>
  <si>
    <t>SJ04_448435444</t>
  </si>
  <si>
    <t>7.77049224607165e-07</t>
  </si>
  <si>
    <t>SS02_161844379</t>
  </si>
  <si>
    <t>5.48034591571385e-09</t>
  </si>
  <si>
    <t>5.85794174930653e-05</t>
  </si>
  <si>
    <t>SV02_452036252</t>
  </si>
  <si>
    <t>2.56001375615302e-09</t>
  </si>
  <si>
    <t>4.10459805592795e-05</t>
  </si>
  <si>
    <t>3.52973082611392e-08</t>
  </si>
  <si>
    <t>SJ04_470381305</t>
  </si>
  <si>
    <t>2.56105698670796e-07</t>
  </si>
  <si>
    <t>SJ06_190433484</t>
  </si>
  <si>
    <t>1.59478555936878e-07</t>
  </si>
  <si>
    <t>SS01_260252102</t>
  </si>
  <si>
    <t>2.72738202937405e-11</t>
  </si>
  <si>
    <t>8.74589595359376e-07</t>
  </si>
  <si>
    <t>SS06_262784533</t>
  </si>
  <si>
    <t>1.04330137352158e-06</t>
  </si>
  <si>
    <t>7.51787065103365e-08</t>
  </si>
  <si>
    <t>SV01_70280031</t>
  </si>
  <si>
    <t>6.59085235792816e-08</t>
  </si>
  <si>
    <t>8.56670703106702e-07</t>
  </si>
  <si>
    <t>SV03_434778697</t>
  </si>
  <si>
    <t>9.75492756318682e-07</t>
  </si>
  <si>
    <t>2.81638720044367e-08</t>
  </si>
  <si>
    <t>SJ02_537945840</t>
  </si>
  <si>
    <t>C10_OLA_2022</t>
  </si>
  <si>
    <t>6.949642257606e-08</t>
  </si>
  <si>
    <t>SS01_333518696</t>
  </si>
  <si>
    <t>1.3922983234927e-06</t>
  </si>
  <si>
    <t>SS01_338632504</t>
  </si>
  <si>
    <t>1.34634150244992e-06</t>
  </si>
  <si>
    <t>SS03_383088528</t>
  </si>
  <si>
    <t>1.39097909432118e-08</t>
  </si>
  <si>
    <t>SS03_447957443</t>
  </si>
  <si>
    <t>5.02587964605812e-08</t>
  </si>
  <si>
    <t>SV03_259924662</t>
  </si>
  <si>
    <t>1.02531291249809e-07</t>
  </si>
  <si>
    <t>SJ02_550994220</t>
  </si>
  <si>
    <t>FHBZEA</t>
  </si>
  <si>
    <t>1.45252024847863e-06</t>
  </si>
  <si>
    <t>SS03_451590681</t>
  </si>
  <si>
    <t>1.37357389116466e-10</t>
  </si>
  <si>
    <t>1.10115984919943e-06</t>
  </si>
  <si>
    <t>SS04_336690977</t>
  </si>
  <si>
    <t>9.52656070493992e-12</t>
  </si>
  <si>
    <t>1.01829407375103e-07</t>
  </si>
  <si>
    <t>SS06_32856422</t>
  </si>
  <si>
    <t>1.72754399745626e-15</t>
  </si>
  <si>
    <t>2.7698576683215e-11</t>
  </si>
  <si>
    <t>SV06_429405425</t>
  </si>
  <si>
    <t>2.82481968925052e-37</t>
  </si>
  <si>
    <t>9.05834929751963e-33</t>
  </si>
  <si>
    <t>SJ03_611922552</t>
  </si>
  <si>
    <t>8.70304839868848e-08</t>
  </si>
  <si>
    <t>SJ05_103986355</t>
  </si>
  <si>
    <t>7.22722268933422e-08</t>
  </si>
  <si>
    <t>SV01_501741056</t>
  </si>
  <si>
    <t>4.22310139133817e-08</t>
  </si>
  <si>
    <t>SJ05_303741566</t>
  </si>
  <si>
    <t>3.46203452296706e-08</t>
  </si>
  <si>
    <t>SS05_120261602</t>
  </si>
  <si>
    <t>5.09899485058935e-10</t>
  </si>
  <si>
    <t>1.63509467873849e-05</t>
  </si>
  <si>
    <t>SJ05_389593959</t>
  </si>
  <si>
    <t>BLSSEV</t>
  </si>
  <si>
    <t>6.35972956722532e-07</t>
  </si>
  <si>
    <t>SS04_283559355</t>
  </si>
  <si>
    <t>3.40793991865999e-11</t>
  </si>
  <si>
    <t>1.0928240937167e-06</t>
  </si>
  <si>
    <t>SV06_142550878</t>
  </si>
  <si>
    <t>1.27947170590548e-08</t>
  </si>
  <si>
    <t>SJ07_668224534</t>
  </si>
  <si>
    <t>8.5049598312854e-07</t>
  </si>
  <si>
    <t>SV02_548956709</t>
  </si>
  <si>
    <t>3.4560559441404e-08</t>
  </si>
  <si>
    <t>SV06_12880934</t>
  </si>
  <si>
    <t>1.12775255804202e-06</t>
  </si>
  <si>
    <t>SV06_433049091</t>
  </si>
  <si>
    <t>1.50141946420837e-06</t>
  </si>
  <si>
    <t>8.45230366659287e-07</t>
  </si>
  <si>
    <t>SV01_24192893</t>
  </si>
  <si>
    <t>1.36478914327632e-10</t>
  </si>
  <si>
    <t>4.37646934574418e-06</t>
  </si>
  <si>
    <t>SV01_530680062</t>
  </si>
  <si>
    <t>4.57989428075628e-07</t>
  </si>
  <si>
    <t>SV06_388713790</t>
  </si>
  <si>
    <t>6.37359664436614e-09</t>
  </si>
  <si>
    <t>SJ02_530678956</t>
  </si>
  <si>
    <t>C10_SAL_2021</t>
  </si>
  <si>
    <t>1.06495360168868e-07</t>
  </si>
  <si>
    <t>SJ02_594684575</t>
  </si>
  <si>
    <t>1.17492917559336e-09</t>
  </si>
  <si>
    <t>9.41911346843806e-06</t>
  </si>
  <si>
    <t>SJ07_16833484</t>
  </si>
  <si>
    <t>3.84813617138996e-10</t>
  </si>
  <si>
    <t>4.11327275359873e-06</t>
  </si>
  <si>
    <t>SJ07_421470788</t>
  </si>
  <si>
    <t>7.16416179810016e-08</t>
  </si>
  <si>
    <t>SJ07_491374653</t>
  </si>
  <si>
    <t>2.87126409569888e-07</t>
  </si>
  <si>
    <t>SJ07_495046207</t>
  </si>
  <si>
    <t>2.58214425065934e-08</t>
  </si>
  <si>
    <t>SS07_301996644</t>
  </si>
  <si>
    <t>2.09606200121101e-13</t>
  </si>
  <si>
    <t>6.72144201928335e-09</t>
  </si>
  <si>
    <t>SV02_452759354</t>
  </si>
  <si>
    <t>8.60279979486605e-07</t>
  </si>
  <si>
    <t>SV03_26394652</t>
  </si>
  <si>
    <t>3.06032886592892e-07</t>
  </si>
  <si>
    <t>SV03_49596960</t>
  </si>
  <si>
    <t>3.205342383412e-10</t>
  </si>
  <si>
    <t>9.48201505041741e-09</t>
  </si>
  <si>
    <t>SV07_505205092</t>
  </si>
  <si>
    <t>1.77213544521134e-09</t>
  </si>
  <si>
    <t>1.13654134643184e-05</t>
  </si>
  <si>
    <t>SJ03_53540326</t>
  </si>
  <si>
    <t>6.42908043518302e-08</t>
  </si>
  <si>
    <t>2.00940380775874e-08</t>
  </si>
  <si>
    <t>SJ03_74519901</t>
  </si>
  <si>
    <t>2.07319028031545e-08</t>
  </si>
  <si>
    <t>7.38677696876396e-05</t>
  </si>
  <si>
    <t>SJ03_86552629</t>
  </si>
  <si>
    <t>6.86430696574069e-08</t>
  </si>
  <si>
    <t>9.04650076369123e-08</t>
  </si>
  <si>
    <t>SJ05_132350274</t>
  </si>
  <si>
    <t>1.65913875296118e-15</t>
  </si>
  <si>
    <t>1.33009005978015e-11</t>
  </si>
  <si>
    <t>SJ05_136045713</t>
  </si>
  <si>
    <t>1.35068514228429e-12</t>
  </si>
  <si>
    <t>7.21873674293838e-09</t>
  </si>
  <si>
    <t>2.41872377473041e-08</t>
  </si>
  <si>
    <t>SJ05_372257862</t>
  </si>
  <si>
    <t>1.81324484850205e-12</t>
  </si>
  <si>
    <t>8.3064746509879e-09</t>
  </si>
  <si>
    <t>SJ07_137924226</t>
  </si>
  <si>
    <t>1.03191967355838e-07</t>
  </si>
  <si>
    <t>9.07003979025722e-06</t>
  </si>
  <si>
    <t>SS03_373045769</t>
  </si>
  <si>
    <t>7.50955043104886e-38</t>
  </si>
  <si>
    <t>2.40808753672444e-33</t>
  </si>
  <si>
    <t>SS05_310863315</t>
  </si>
  <si>
    <t>1.26002500138635e-12</t>
  </si>
  <si>
    <t>SS06_272394531</t>
  </si>
  <si>
    <t>6.42908067995739e-08</t>
  </si>
  <si>
    <t>2.23459452659178e-08</t>
  </si>
  <si>
    <t>SS06_273159799</t>
  </si>
  <si>
    <t>8.18218912286111e-09</t>
  </si>
  <si>
    <t>3.27972823253484e-05</t>
  </si>
  <si>
    <t>SS06_273449073</t>
  </si>
  <si>
    <t>6.42908144598853e-08</t>
  </si>
  <si>
    <t>SS07_352707146</t>
  </si>
  <si>
    <t>6.61261409663732e-08</t>
  </si>
  <si>
    <t>SS07_352709134</t>
  </si>
  <si>
    <t>5.86779755982528e-08</t>
  </si>
  <si>
    <t>SV01_171715235</t>
  </si>
  <si>
    <t>7.12192622928321e-32</t>
  </si>
  <si>
    <t>1.14189404197212e-27</t>
  </si>
  <si>
    <t>SV04_112867423</t>
  </si>
  <si>
    <t>1.53050577400165e-27</t>
  </si>
  <si>
    <t>1.63595762183037e-23</t>
  </si>
  <si>
    <t>2.26642292971832e-07</t>
  </si>
  <si>
    <t>SV07_13367865</t>
  </si>
  <si>
    <t>1.80436010561323e-07</t>
  </si>
  <si>
    <t>SV07_30709054</t>
  </si>
  <si>
    <t>9.79139270897421e-07</t>
  </si>
  <si>
    <t>1.53180871900601e-07</t>
  </si>
  <si>
    <t>SJ07_538240241</t>
  </si>
  <si>
    <t>2.57788196268319e-07</t>
  </si>
  <si>
    <t>SS02_167194150</t>
  </si>
  <si>
    <t>4.61385965527135e-08</t>
  </si>
  <si>
    <t>SS06_243762540</t>
  </si>
  <si>
    <t>2.40461941376356e-07</t>
  </si>
  <si>
    <t>SV01_442280490</t>
  </si>
  <si>
    <t>1.6286925870597e-08</t>
  </si>
  <si>
    <t>SJ02_517769933</t>
  </si>
  <si>
    <t>C10_SAL_2022</t>
  </si>
  <si>
    <t>4.9246819108112e-08</t>
  </si>
  <si>
    <t>4.84477991068039e-06</t>
  </si>
  <si>
    <t>SJ05_552460009</t>
  </si>
  <si>
    <t>2.22636437319247e-32</t>
  </si>
  <si>
    <t>7.13928263551628e-28</t>
  </si>
  <si>
    <t>1.06561755959676e-12</t>
  </si>
  <si>
    <t>6.83423165671784e-09</t>
  </si>
  <si>
    <t>SJ07_603983512</t>
  </si>
  <si>
    <t>7.37408917119302e-07</t>
  </si>
  <si>
    <t>SS02_486726932</t>
  </si>
  <si>
    <t>1.28392809182664e-10</t>
  </si>
  <si>
    <t>6.86195368676749e-07</t>
  </si>
  <si>
    <t>5.23698365928463e-27</t>
  </si>
  <si>
    <t>8.39671775011401e-23</t>
  </si>
  <si>
    <t>3.41660236552256e-06</t>
  </si>
  <si>
    <t>9.52985305390824e-10</t>
  </si>
  <si>
    <t>4.36562568399537e-06</t>
  </si>
  <si>
    <t>7.93589950154749e-07</t>
  </si>
  <si>
    <t>SV05_550625854</t>
  </si>
  <si>
    <t>7.95259770173776e-08</t>
  </si>
  <si>
    <t>SV05_564391501</t>
  </si>
  <si>
    <t>3.16282828882387e-08</t>
  </si>
  <si>
    <t>SV05_570894065</t>
  </si>
  <si>
    <t>2.84036696640414e-15</t>
  </si>
  <si>
    <t>3.03606825038939e-11</t>
  </si>
  <si>
    <t>2.58184778026734e-08</t>
  </si>
  <si>
    <t>SV05_574080626</t>
  </si>
  <si>
    <t>6.54792429176242e-13</t>
  </si>
  <si>
    <t>5.24930720659863e-09</t>
  </si>
  <si>
    <t>SJ03_497263053</t>
  </si>
  <si>
    <t>6.17812646642619e-09</t>
  </si>
  <si>
    <t>3.96227962797777e-05</t>
  </si>
  <si>
    <t>SJ04_511030438</t>
  </si>
  <si>
    <t>1.85690661953352e-08</t>
  </si>
  <si>
    <t>9.92423742809692e-05</t>
  </si>
  <si>
    <t>SS03_24005972</t>
  </si>
  <si>
    <t>6.0333207051033e-19</t>
  </si>
  <si>
    <t>1.93470495050548e-14</t>
  </si>
  <si>
    <t>SS04_79130992</t>
  </si>
  <si>
    <t>4.52696229032788e-11</t>
  </si>
  <si>
    <t>4.83886999213147e-07</t>
  </si>
  <si>
    <t>1.69308256078582e-07</t>
  </si>
  <si>
    <t>SS05_134093949</t>
  </si>
  <si>
    <t>1.45767411686588e-10</t>
  </si>
  <si>
    <t>1.16858089763845e-06</t>
  </si>
  <si>
    <t>SS07_39851932</t>
  </si>
  <si>
    <t>3.33653068872099e-07</t>
  </si>
  <si>
    <t>2.8232613205941e-07</t>
  </si>
  <si>
    <t>SV05_523243129</t>
  </si>
  <si>
    <t>8.7863690876783e-15</t>
  </si>
  <si>
    <t>1.4087624876729e-10</t>
  </si>
  <si>
    <t>SV06_385396770</t>
  </si>
  <si>
    <t>2.36054556711918e-07</t>
  </si>
  <si>
    <t>SV07_722317269</t>
  </si>
  <si>
    <t>6.05466085044026e-07</t>
  </si>
  <si>
    <t>1.294340066815e-56</t>
  </si>
  <si>
    <t>4.15056029225568e-52</t>
  </si>
  <si>
    <t>SS03_165935726</t>
  </si>
  <si>
    <t>1.40628904047776e-14</t>
  </si>
  <si>
    <t>6.44221009442862e-11</t>
  </si>
  <si>
    <t>SS03_316869342</t>
  </si>
  <si>
    <t>1.38725348355944e-14</t>
  </si>
  <si>
    <t>SS03_316869348</t>
  </si>
  <si>
    <t>1.40628892228966e-14</t>
  </si>
  <si>
    <t>5.35970146244041e-06</t>
  </si>
  <si>
    <t>SS03_343702896</t>
  </si>
  <si>
    <t>3.7556314914444e-07</t>
  </si>
  <si>
    <t>SS07_61086311</t>
  </si>
  <si>
    <t>1.17722868464326e-12</t>
  </si>
  <si>
    <t>4.71877402880693e-09</t>
  </si>
  <si>
    <t>SS07_65302073</t>
  </si>
  <si>
    <t>3.43214051074023e-23</t>
  </si>
  <si>
    <t>2.75146124394767e-19</t>
  </si>
  <si>
    <t>SS07_65547475</t>
  </si>
  <si>
    <t>SS07_67144799</t>
  </si>
  <si>
    <t>3.23804376312639e-25</t>
  </si>
  <si>
    <t>5.1917174676087e-21</t>
  </si>
  <si>
    <t>SV03_110712558</t>
  </si>
  <si>
    <t>4.79718669454985e-08</t>
  </si>
  <si>
    <t>SV05_45545812</t>
  </si>
  <si>
    <t>1.94290783036183e-07</t>
  </si>
  <si>
    <t>SJ07_676779696</t>
  </si>
  <si>
    <t>3.12265313864036e-08</t>
  </si>
  <si>
    <t>SS01_373032805</t>
  </si>
  <si>
    <t>9.85613020601015e-11</t>
  </si>
  <si>
    <t>3.16056527316127e-06</t>
  </si>
  <si>
    <t>SS03_457292509</t>
  </si>
  <si>
    <t>3.60918437930361e-07</t>
  </si>
  <si>
    <t>2.53922117944056e-10</t>
  </si>
  <si>
    <t>4.07126027805602e-06</t>
  </si>
  <si>
    <t>SV07_77346874</t>
  </si>
  <si>
    <t>1.71499646116316e-07</t>
  </si>
  <si>
    <t>SS05_501885161</t>
  </si>
  <si>
    <t>1.95504364903074e-07</t>
  </si>
  <si>
    <t>SV01_8751581</t>
  </si>
  <si>
    <t>7.89685549542484e-16</t>
  </si>
  <si>
    <t>2.53228465171788e-11</t>
  </si>
  <si>
    <t>6.18753382743571e-17</t>
  </si>
  <si>
    <t>SV02_80918909</t>
  </si>
  <si>
    <t>1.09372283411239e-09</t>
  </si>
  <si>
    <t>1.7536205060741e-05</t>
  </si>
  <si>
    <t>T.inter_Genes</t>
  </si>
  <si>
    <t>T.inter_Description</t>
  </si>
  <si>
    <t>NCBI_Description</t>
  </si>
  <si>
    <t>NCBI_Species</t>
  </si>
  <si>
    <t>Query</t>
  </si>
  <si>
    <t>Per.Ident</t>
  </si>
  <si>
    <t>Function</t>
  </si>
  <si>
    <t>Reference</t>
  </si>
  <si>
    <t>Thintv31211533m.g</t>
  </si>
  <si>
    <t>linoleate 9S-lipoxygenase, oxidation-reduction process</t>
  </si>
  <si>
    <t>defense responses against biotic stress, i.e., insects, pests, pathogenic attacks, and abiotic stress, such as wounding, UV-rays, extreme temperature, oxidative stress, and drought</t>
  </si>
  <si>
    <t>Singh P, Arif Y, Miszczuk E, Bajguz A, Hayat S. Specific Roles of Lipoxygenases in Development and Responses to Stress in Plants. Plants (Basel). 2022 Apr 4;11(7):979. doi: 10.3390/plants11070979. PMID: 35406959; PMCID: PMC9002551.</t>
  </si>
  <si>
    <t>Thintv31268736m.g</t>
  </si>
  <si>
    <t>Pectate lyase</t>
  </si>
  <si>
    <t>Uncharacterized</t>
  </si>
  <si>
    <t>T.aestivum</t>
  </si>
  <si>
    <t>PLs are an important part of a cocktail of enzymes controlling cell wall remodelling in a wide range of plant developmental processes.</t>
  </si>
  <si>
    <t>Selman Uluisik, Graham B. Seymour, Pectate lyases: Their role in plants and importance in fruit ripening, Food Chemistry, Volume 309, 2020, 125559, ISSN 0308-8146, https://doi.org/10.1016/j.foodchem.2019.125559. (https://www.sciencedirect.com/science/article/pii/S0308814619316838)</t>
  </si>
  <si>
    <t>eukaryotic initiation factor 6-2-like</t>
  </si>
  <si>
    <t>necessary for tissue-specific growth and oncogene-driven transformation, and could be a new rate-limiting step for the initiation of translation</t>
  </si>
  <si>
    <t>Miluzio A, Beugnet A, Volta V, Biffo S. Eukaryotic initiation factor 6 mediates a continuum between 60S ribosome biogenesis and translation. EMBO Rep. 2009 May;10(5):459-65. doi: 10.1038/embor.2009.70. Epub 2009 Apr 17. PMID: 19373251; PMCID: PMC2680881.</t>
  </si>
  <si>
    <t>Thintv31372216m.g</t>
  </si>
  <si>
    <t>UnIdentified</t>
  </si>
  <si>
    <t>protein Late Flowering</t>
  </si>
  <si>
    <t>Thintv31216847m.g</t>
  </si>
  <si>
    <t>[Protein-PII] uridylyltransferase</t>
  </si>
  <si>
    <t>signal transduction protein regulating glutamine synthetase activity; important enzyme for nitrogen assimilation</t>
  </si>
  <si>
    <t>Thintv31164644m.g</t>
  </si>
  <si>
    <t>tRNA-splicing endonuclease positive effector (SEN1)</t>
  </si>
  <si>
    <t>senescence-associated protein during plant defence responses; activation of this gene by pathogen occurs predominantly via the salicylic and jasmonic acid signalling pathways, involving the functions of EDS5, NPR1 and JAR1. In addition, in the absence of pathogen challenge, the cpr5/hys1 mutant showed elevated SEN1 expression and displayed an accelerated senescence response following inoculation with the necrotrophic fungal pathogen Fusarium oxysporum. Although the analysis of the sen1-1 knock-out mutant did not reveal any obvious role for this gene in defence or senescence-associated events, our results presented here show that SEN1 is regulated by signals that link plant defence and senescence responses and thus represents a useful marker gene to study the overlap between these two important physiological events</t>
  </si>
  <si>
    <t>Peer M. Schenk, Kemal Kazan, Anca G. Rusu, John M. Manners, Donald J. Maclean, The SEN1 gene of Arabidopsis is regulated by signals that link plant defence responses and senescence, Plant Physiology and Biochemistry, Volume 43, Issues 10–11, 2005, Pages 997-1005, ISSN 0981-9428, https://doi.org/10.1016/j.plaphy.2005.09.002.</t>
  </si>
  <si>
    <t>alpha-xylosidase 1-like</t>
  </si>
  <si>
    <t>H.vulgare subsp.vulgare</t>
  </si>
  <si>
    <t>contributes to maintaining the mechanical integrity of the primary cell wall in the growing and pre-growing tissues</t>
  </si>
  <si>
    <t>Shigeyama T, Watanabe A, Tokuchi K, Toh S, Sakurai N, Shibuya N, Kawakami N. α-Xylosidase plays essential roles in xyloglucan remodelling, maintenance of cell wall integrity, and seed germination in Arabidopsis thaliana. J Exp Bot. 2016 Oct;67(19):5615-5629. doi: 10.1093/jxb/erw321. Epub 2016 Sep 7. PMID: 27605715; PMCID: PMC5066485.</t>
  </si>
  <si>
    <t>scarecrow-like protein</t>
  </si>
  <si>
    <t>negatively regulate chlorophyll biosynthesis via inhibit the expression of the key gene encoding protochlorophyllide oxidoreductase (POR)</t>
  </si>
  <si>
    <t>Ma Z, Hu X, Cai W, Huang W, Zhou X, Luo Q, et al. (2014) ArabidopsismiR171-Targeted Scarecrow-Like Proteins Bind to GT cis-Elements and Mediate Gibberellin-Regulated Chlorophyll Biosynthesis under Light Conditions. PLoS Genet 10(8): e1004519. https://doi.org/10.1371/journal.pgen.1004519</t>
  </si>
  <si>
    <t>Thintv31252690m.g</t>
  </si>
  <si>
    <t>Xanthoxin dehydrogenase</t>
  </si>
  <si>
    <t>biosynthetic enzyme of the phytohormone Abscisic acid (ABA) which plays a key role in biotic and abiotic stress responses. Xanthoxin dehydrogenase is a member of the short-chain dehydrogenase/reductase family that catalyzes the conversion of xanthoxin to abscisyl aldehyde (ABAld).</t>
  </si>
  <si>
    <t>Endo A, Nelson KM, Thoms K, Abrams SR, Nambara E, Sato Y. Functional characterization of xanthoxin dehydrogenase in rice. J Plant Physiol. 2014 Sep 1;171(14):1231-40. doi: 10.1016/j.jplph.2014.05.003. Epub 2014 Jun 2. PMID: 25014258.</t>
  </si>
  <si>
    <t>disease resistance protein RGA4-like mRNA</t>
  </si>
  <si>
    <t>stem rust</t>
  </si>
  <si>
    <t>X. Wang, J. Richards, T. Gross, A. Druka, A. Kleinhofs, B. Steffenson, M. Acevedo, and R. Brueggeman. The rpg4-Mediated Resistance to Wheat Stem Rust (Puccinia graminis) in Barley (Hordeum vulgare) Requires Rpg5, a Second NBS-LRR Gene, and an Actin Depolymerization Factor. Molecular Plant-Microbe Interactions® 2013 26:4, 407-418 </t>
  </si>
  <si>
    <t>Thintv31166518m.g</t>
  </si>
  <si>
    <t>Leucine permease transcriptional regulator</t>
  </si>
  <si>
    <t>whole-plant N reallocation; belong to family commonly associated with signal perception, transduction and/or regulatory processes</t>
  </si>
  <si>
    <t>Jukanti, A.K., Heidlebaugh, N.M., Parrott, D.L., Fischer, I.A., McInnerney, K. and Fischer, A.M. (2008), Comparative transcriptome profiling of near-isogenic barley (Hordeum vulgare) lines differing in the allelic state of a major grain protein content locus identifies genes with possible roles in leaf senescence and nitrogen reallocation. New Phytologist, 177: 333-349. https://doi.org/10.1111/j.1469-8137.2007.02270.x</t>
  </si>
  <si>
    <t>agamous-like MADS-box protein</t>
  </si>
  <si>
    <t>AGAMOUS‐LIKE6 (AGL6)‐like genes are ancient MADS‐box genes; floral organ identity and its involvement in spikelet meristem development</t>
  </si>
  <si>
    <t>Kong X, Wang F, Geng S, Guan J, Tao S, Jia M, Sun G, Wang Z, Wang K, Ye X, Ma J, Liu D, Wei Y, Zheng Y, Fu X, Mao L, Lan X, Li A. The wheat AGL6-like MADS-box gene is a master regulator for floral organ identity and a target for spikelet meristem development manipulation. Plant Biotechnol J. 2022 Jan;20(1):75-88. doi: 10.1111/pbi.13696. Epub 2021 Oct 2. PMID: 34487615; PMCID: PMC8710900.</t>
  </si>
  <si>
    <t>ankyrin repeat-containing protein</t>
  </si>
  <si>
    <t>generally involved in protein-protein interactions to regulate plant defense responses through interactions with distinct proteins. Inculding regulating salicylic acid-induced PR gene expression and pathogen resistance. YrU1, a stripe rust resistance gene from the diploid wheat Triticum urartu, encodes a coiled-coil-NBS-leucine-rich repeat protein with N-terminal ankyrin-repeat and C-terminal WRKY domains</t>
  </si>
  <si>
    <t>Yang Y, Zhang Y, Ding P, Johnson K, Li X, Zhang Y. The ankyrin-repeat transmembrane protein BDA1 functions downstream of the receptor-like protein SNC2 to regulate plant immunity. Plant Physiol. 2012 Aug;159(4):1857-65. doi: 10.1104/pp.112.197152. Epub 2012 Jun 27. PMID: 22740615; PMCID: PMC3425218.</t>
  </si>
  <si>
    <t>Thintv31038336m.g</t>
  </si>
  <si>
    <t>UPF0481 protein</t>
  </si>
  <si>
    <t>defense against alkaline stress</t>
  </si>
  <si>
    <t>Guo M, Li S, Tian S, Wang B, Zhao X (2017) Transcriptome analysis of genes involved in defense against alkaline stress in roots of wild jujube (Ziziphus acidojujuba). PLoS ONE 12(10): e0185732. https://doi.org/10.1371/journal.pone.0185732</t>
  </si>
  <si>
    <t>omega gliadin-Dx, gamma gliadin-Dx, delta gliadin-Dx</t>
  </si>
  <si>
    <t>wheat gluten proteins</t>
  </si>
  <si>
    <t>Altenbach SB, Chang HC, Yu XB, Seabourn BW, Green PH, Alaedini A. Elimination of Omega-1,2 Gliadins From Bread Wheat (Triticum aestivum) Flour: Effects on Immunogenic Potential and End-Use Quality. Front Plant Sci. 2019 May 9;10:580. doi: 10.3389/fpls.2019.00580. PMID: 31143195; PMCID: PMC6521778.</t>
  </si>
  <si>
    <t>Thintv31147102m.g</t>
  </si>
  <si>
    <t>Polygalacturonase</t>
  </si>
  <si>
    <t>polygalacturonase inhibiting protiens (PGIP) restrict or halt pathogen invasion. Wheat PGIP specific for C. sativus endopolygalacturonase is reported</t>
  </si>
  <si>
    <t>Gabré Kemp, Carl W. Bergmann, Ron Clay, Amie J. Van der Westhuizen, and Zacharias A. Pretorius. Isolation of a Polygalacturonase-Inhibiting Protein (PGIP) from Wheat. Molecular Plant-Microbe Interactions® 2003 16:11, 955-961 </t>
  </si>
  <si>
    <t>Thintv31147245m.g</t>
  </si>
  <si>
    <t>Thintv31277797m.g</t>
  </si>
  <si>
    <t>zinc ion binding; regulation of transcription</t>
  </si>
  <si>
    <t>FAR-1-Relatedd sequence 5-like</t>
  </si>
  <si>
    <t>FAR-RED IMPAIRED RESPONSE1 (FAR1) transposase-derived transcription factor that is important to plant growth and development. The N-terminal FAR1 DNA-binding domain is a type of C2H2 zinc-finger domain from the WRKY-Glial Cell Missing1 (WRKY-GCM1) superfamily, which bind to specific cis-elements in the promoter regions of diverse targets </t>
  </si>
  <si>
    <t>Ma Lin , Li Gang. FAR1-RELATED SEQUENCE (FRS) and FRS-RELATED FACTOR (FRF) Family Proteins in Arabidopsis Growth and Development. Frontiers in Plant Science. VOLUME 9. 2018. https://www.frontiersin.org/journals/plant-science/articles/10.3389/fpls.2018.00692. DOI: 10.3389/fpls.2018.00692. ISSN: 1664-462X</t>
  </si>
  <si>
    <t>Thintv31326000m.g</t>
  </si>
  <si>
    <t>Thintv31402857m.g</t>
  </si>
  <si>
    <t>Acetyltransferase (GNAT) family; Glucosamine-phosphate N-acetyltransferase</t>
  </si>
  <si>
    <t>serotonin N-acetyltransferase 2, chloroplastic-like</t>
  </si>
  <si>
    <t>General control non-repressible 5 (GCN5)-related N-acetyltransferases (GNAT) catalyze the transfer of an acyl moiety from acyl coenzyme A (acyl-CoA) to a diverse group of substrates and are widely distributed in all domains of life. GNAT enzyme glucosamine-6-phosphate N-acetyltransferase-1 is involved in the biosynthesis of a metabolite, uridine diphosphate (UDP)-N-acetylglucosamine. UDP-glucuronic acid is a sugar donor for the glycosylation of various plant specialized metabolites and associated with triterpenoid saponin biosynthesis in relation to cell wall component biosynthesis. GNAT enzyme serotonin N-acetyltransferase, catalyzes transfer of an acetyl group from AcCoA to the primary amine of a wide range of arylalkylamine substrates, including dopamine, serotonin, phenylethylamine and tryptamine. Tryptamine and serotonin pathways lead to the production of defence-associated hormones and metabolites in wheat following F. pseudograminearum infection. </t>
  </si>
  <si>
    <t>Thintv31037767m.g</t>
  </si>
  <si>
    <t>UDP-glucuronosyl and UDP-glucosyl transferase,Isoflavone 7-O-glucosyltransferase</t>
  </si>
  <si>
    <t>myricetin 3-O-rhamnoside 1,2-gluucosyltransfrease</t>
  </si>
  <si>
    <t>Isoflavones play very important roles in plant-microbe interactions in certain legumes such as soybeans. UDP-glucose:isoflavone 7-O-glucosyltransferase is a key enzyme in the synthesis of isoflavone conjugates, which serve as an isoflavonoid pool that allows for interaction with microorganisms. Myricetin 3-O-rhamnoside is a flavonol phenolic compound with reported antioxidant activity to inhibit xanthine oxidase activity, lipid peroxidation and to scavenge the free radical 1,1-diphenyl-2-picrylhydrazyl</t>
  </si>
  <si>
    <t>Thintv31106407m.g</t>
  </si>
  <si>
    <t>Ring finger domain,Anaphase-promoting complex (APC), subunit 11</t>
  </si>
  <si>
    <t>RING-H2 finger protein ATL2</t>
  </si>
  <si>
    <t>mediate protein/protein interactions and are involved in protein complex assembly and protein recognition and degradation of specific proteins during the early stages of pathogen attack</t>
  </si>
  <si>
    <t>Salinas-Mondragón, R.E., Garcidueñas-Piña, C. &amp; Guzmán, P. Early elicitor induction in members of a novel multigene family coding for highly related RING-H2 proteins in Arabidopsis thaliana. Plant Mol Biol 40, 579–590 (1999). https://doi.org/10.1023/A:1006267201855</t>
  </si>
  <si>
    <t>Thintv31152524m.g</t>
  </si>
  <si>
    <t>Unknown</t>
  </si>
  <si>
    <t>Thintv31192151m.g</t>
  </si>
  <si>
    <t>LEUCINE-RICH REPEAT-CONTAINING PROTEIN,Apoptotic ATPase,NB-ARC domain,ADP binding</t>
  </si>
  <si>
    <t>SWIM zinc finger,zinc ion binding,regulation of transcription, DNA-dependent</t>
  </si>
  <si>
    <t>FAR1-Related sequence 5</t>
  </si>
  <si>
    <t>Thintv31373157m.g</t>
  </si>
  <si>
    <t>Plant pleckstrin homology-like region,Auxin canalisation</t>
  </si>
  <si>
    <t>VAN3-binding protein</t>
  </si>
  <si>
    <t>pleckstrin homology (PH) domains bind phosphoinositides and Arf (ADP-ribosylation factor) family small G-proteins where they may function as coincidence detectors. The plant hormon Auxin forms it's own transport channels to provide positional information, along which new vascular strands form, for example, during organogenesis, regeneration, or leave venation. This vasular tissue system secures exchange of nutrients and assimilate between organs. VAN3-binding protein from Arabidopsis thaliana (aka FORKED1) enables auxin canalisation by recruitment of the PIN1 auxin efflux protein to the cell membrane</t>
  </si>
  <si>
    <t>Thintv31373537m.g</t>
  </si>
  <si>
    <t>Chaperone HSP104 and related ATP-dependent Clp proteases, ATP-binding subunit ClpB</t>
  </si>
  <si>
    <t>AAA+ motor proteins repair or remove damaged or unneeded proteins. ClpB and Hsp104 rescue damaged proteins from toxic aggregates by recognizing and disrupting protein aggregates in vivo. </t>
  </si>
  <si>
    <t>Duran Elizabeth C. , Weaver Clarissa L. , Lucius Aaron L. Comparative Analysis of the Structure and Function of AAA+ Motors ClpA, ClpB, and Hsp104: Common Threads and Disparate Functions. Frontiers in Molecular Biosciences. VOLUME 4. 2017. https://www.frontiersin.org/journals/molecular-biosciences/articles/10.3389/fmolb.2017.00054. DOI=10.3389/fmolb.2017.00054. ISSN=2296-889X</t>
  </si>
  <si>
    <t>Thintv31055700m.g</t>
  </si>
  <si>
    <t>amino acid transport</t>
  </si>
  <si>
    <t>amino acid permease BAT1 homolog</t>
  </si>
  <si>
    <t>Arabidopsis BAT1 mediates the import of arginine and alanine and may mediate amino acid export from leaf cells. The majority of wheat grain nitrogen is derived from amino acids remobilized from vegetative organs. BAT1 was up-regulated by nematode infection during penetration stage and feeding site establishment which suggests that amino acid metabolism plays a crucial role for nematode infection.</t>
  </si>
  <si>
    <t>pentatricopeptide repeat-containing protein</t>
  </si>
  <si>
    <t>pentatricopeptide repeat (PPR) proteins are a large family of modular RNA-binding proteins which mediate several aspects of gene expression primarily in organelles but also in the nucleus. Involved in plant development and growth</t>
  </si>
  <si>
    <t>Thintv31081828m.g</t>
  </si>
  <si>
    <t>Thintv31180063m.g</t>
  </si>
  <si>
    <t>NPH3 family</t>
  </si>
  <si>
    <t>plasma-membrane associated protein, NON-PHOTOTROPIC HYPOCOTYL 3 (NPH3) is a key determinant of phototropic growth and are phosphorylation targets for plant AGC kinases. Phototropism allows plants to re-orientate shoot growth towards a directional light source, which promotes light capture and early seedling growth</t>
  </si>
  <si>
    <t>Sullivan, S., Waksman, T., Paliogianni, D. et al. Regulation of plant phototropic growth by NPH3/RPT2-like substrate phosphorylation and 14-3-3 binding. Nat Commun 12, 6129 (2021). https://doi.org/10.1038/s41467-021-26333-5</t>
  </si>
  <si>
    <t>Thintv31316313m.g</t>
  </si>
  <si>
    <t>aquaporin major intrinsic protein family transport activity</t>
  </si>
  <si>
    <t>facilitators of water movement through plant cell membranes</t>
  </si>
  <si>
    <t>Pandey B, Sharma P, Pandey DM, Sharma I, Chatrath R. Identification of new aquaporin genes and single nucleotide polymorphism in bread wheat. Evol Bioinform Online. 2013 Nov 3;9:437-52. doi: 10.4137/EBO.S12568. PMID: 24250219; PMCID: PMC3825567.</t>
  </si>
  <si>
    <t>Ring finger domain, Anaphase-promoting complex (APC), subunit 11</t>
  </si>
  <si>
    <t>RING-H2 finger protein ATL2-like</t>
  </si>
  <si>
    <t>Thintv31200293m.g</t>
  </si>
  <si>
    <t>DUF761-associated sequence motif</t>
  </si>
  <si>
    <t>Uncharactrized</t>
  </si>
  <si>
    <t>domain of unknown function (DUF) DUF761-1 overexpression was associated with altered leaf and root morphology, inhibition of inflorescence stem elongation and thickening, defects in flower development, reduced seed production, and exhibited constitutively activated plant defense responses and displayed enhanced resistance to Pseudomonas syringae L. pv. tomato DC3000 during pathogen infection assays.</t>
  </si>
  <si>
    <t>Zhang, Yao &amp; Zhang, Fan &amp; Huang, Xiaozhen. (2019). Characterization of an Arabidopsis thaliana DUF761-containing protein with a potential role in development and defense responses. Theoretical and Experimental Plant Physiology. 31. 10.1007/s40626-019-00146-w. </t>
  </si>
  <si>
    <t>Thintv31204757m.g</t>
  </si>
  <si>
    <t>Glycosyl hydrolases family 18, Chitinase,carbohydrate metabolic process</t>
  </si>
  <si>
    <t>Glycoside hydrolase family 18 (GH18) chitinases, which catalyze the biodegradation of β-1,4 glycosidic bond in amino polysaccharides via a substrate-assisted retention mechanism, are widely distributed in nature and have diverse functions including tissue degradation and remodeling, nutrition uptake, invasion and pathogenesis as well as immune response regulation. </t>
  </si>
  <si>
    <t>Wei Chen, Xi Jiang, Qing Yang, Glycoside hydrolase family 18 chitinases: The known and the unknown, Biotechnology Advances, Volume 43, 2020, 107553, ISSN 0734-9750, https://doi.org/10.1016/j.biotechadv.2020.107553.</t>
  </si>
  <si>
    <t>Thintv31268457m.g</t>
  </si>
  <si>
    <t>ATP-dependent CLP protease ATP-binding subunit ClpB</t>
  </si>
  <si>
    <t>Chaperone protin CLPB1</t>
  </si>
  <si>
    <t>AAA+ motor proteins repair or remove damaged or unneeded proteins. ClpB rescues damaged proteins from toxic aggregates by recognizing and disrupting protein aggregates in vivo. ClpB1 may perform critical regulatory functions during or following heat stress</t>
  </si>
  <si>
    <t>Thintv31268670m.g</t>
  </si>
  <si>
    <t>Aspartyl protease endopeptidase activity,Nepenthesin,Xylanase inhibitor N-terminal/C-terminal</t>
  </si>
  <si>
    <t>Nepenthesins are aspartic proteases (APs) mostly known from the pitcher fluid of the carnivorous plant Nepenthes but are also widely distributed within the plant kingdom and play significant roles in other plant species. Biological roles include hydrolyzing insect protein and availing the nitrogen for assimilation by the plant, reduces the activity of fungal phytases, enzymes that dephosphorylate the phytic acid substrate, suppresses biomass accumulation and 15-acetyldeoxynivalenol (15ADON) mycotoxin production from different strains of Fusarium graminearum, represses the expression of trichothecene (TRI) biosynthesis and regulatory genes in F. graminearum. Xylanase inhibitor N-terminal and C-terminal domains form a lobe and create the catalytic pocket of napenthesin A1 protease domain</t>
  </si>
  <si>
    <t>Bekalu ZE, Dionisio G, Brinch-Pedersen AH. Molecular Properties and New Potentials of Plant Nepenthesins. Plants (Basel). 2020 Apr 29;9(5):570. doi: 10.3390/plants9050570. PMID: 32365700; PMCID: PMC7284499.</t>
  </si>
  <si>
    <t>Thintv31282890m.g</t>
  </si>
  <si>
    <t>Thintv31048802m.g</t>
  </si>
  <si>
    <t>serine-rich adhesin for platelets-like</t>
  </si>
  <si>
    <t>Thintv31090184m.g</t>
  </si>
  <si>
    <t>solute carrier family 32 (vesicular inhibitory amino acid transporter)</t>
  </si>
  <si>
    <t>SLCs are transmembrane transporters. The SLC32 family comprises a single member: the vesicular inhibitory amino acid transporter (VIAAT) or vesicular GABA transporter (VGAT). It belongs to a eukaryotic-specific superfamily of H+-coupled amino acid transporters known as the amino acid/auxin permease superfamily. </t>
  </si>
  <si>
    <t>Gasnier, B. The SLC32 transporter, a key protein for the synaptic release of inhibitory amino acids.Pflugers Arch - Eur J Physiol 447, 756–759 (2004). https://doi.org/10.1007/s00424-003-1091-2</t>
  </si>
  <si>
    <t>Thintv31090273m.g</t>
  </si>
  <si>
    <t>Dof domain, zinc finger; regulation of transcription</t>
  </si>
  <si>
    <t>dof zinc finger protein DOF5.1-like</t>
  </si>
  <si>
    <t>primarily involved in seed development, dormancy and germination, as well as in seedling development and other light-mediated processes. plant growth, differentiation, seed development and germination as well as their response to biotic and abiotic stresses</t>
  </si>
  <si>
    <t>Thintv31136654m.g</t>
  </si>
  <si>
    <t>RNA-binding protein</t>
  </si>
  <si>
    <t>zinc finger CCCH domain-containing protein 40-like</t>
  </si>
  <si>
    <t>C2H2-type or CCCC-type, named after the configuration of cysteine (C) and histidine (H); the less-common CCCH zinc-finger proteins are important in the regulation of plant stress responses. Many plant CCCH-type ZFPs also work as RNA-binding proteins. These interact with target RNA taking part in different aspects of growth and development</t>
  </si>
  <si>
    <t>Thintv31236084m.g</t>
  </si>
  <si>
    <t>Cysteamine dioxygenase</t>
  </si>
  <si>
    <t>Cysteamine dioxygenase is a N-terminal cysteinyl dioxygenases (NCOs) which regulates the stability of certain Cys-initiating proteins in an O2-sensitive manner</t>
  </si>
  <si>
    <t>Gunawardana, D.M., Heathcote, K.C. and Flashman, E. (2022), Emerging roles for thiol dioxygenases as oxygen sensors. FEBS J, 289: 5426-5439. https://doi.org/10.1111/febs.16147</t>
  </si>
  <si>
    <t>Thintv31259117m.g</t>
  </si>
  <si>
    <t>Pentatricopeptide repeat domain</t>
  </si>
  <si>
    <t>pentatricopeptide repeat-containing protein At1g77360, mitochondrial-like</t>
  </si>
  <si>
    <t>UDP-glycosyltransferase 92A1-like</t>
  </si>
  <si>
    <t>Hordeum vulgare subsp.vulgare</t>
  </si>
  <si>
    <t>Self-incompatibility (SI), flavonoid biosynthesis pathway</t>
  </si>
  <si>
    <t>Thintv31280090m.g</t>
  </si>
  <si>
    <t>Glycosyl hydrolase family 1, Beta-glucosidase, lactase phlorizinhydrolase</t>
  </si>
  <si>
    <t>carbohydrate metabolic process, hydrolase activity, hydrolyzing O-glycosyl compounds. Glycosyl hydrolase family 1 B-glucosidase involved in response to biotic and abiotic stresses, defense against herbivores, activation of phytohormones, lignification, and cell wall remodeling.</t>
  </si>
  <si>
    <t>Opassiri, R., Pomthong, B., Onkoksoong, T. et al. Analysis of rice glycosyl hydrolase family 1 and expression of Os4bglu12 β-glucosidase. BMC Plant Biol 6, 33 (2006). https://doi.org/10.1186/1471-2229-6-33</t>
  </si>
  <si>
    <t>Thintv31101682m.g</t>
  </si>
  <si>
    <t>Isoflavone 2'-hydroxylase</t>
  </si>
  <si>
    <t>cytochrome P450 81Q32-like</t>
  </si>
  <si>
    <t>The isoflavone-2'-hydroxylase (I2'H) catalyzes a critical step in the isoflavonoid biosynthesis towards pterocarpan phytoalexins. The enzyme has been characterized as a cytochrome P450 dependent monooxygenase. Phytoalexins are antimicrobial compounds biosynthesized de novo by plants in response to diverse forms of stress, including microbial attack. </t>
  </si>
  <si>
    <t>disease resistance protein Pik-2</t>
  </si>
  <si>
    <t>rice blast resistance gene Pik encodes coiled-coil nucleotide binding site leucine-rich repeat (NBS-LRR) protein</t>
  </si>
  <si>
    <t>Zhai C, Lin F, Dong Z, He X, Yuan B, Zeng X, Wang L, Pan Q. The isolation and characterization of Pik, a rice blast resistance gene which emerged after rice domestication. New Phytol. 2011 Jan;189(1):321-34. doi: 10.1111/j.1469-8137.2010.03462.x. Epub 2010 Sep 23. PMID: 21118257.</t>
  </si>
  <si>
    <t>Thintv31217125m.g</t>
  </si>
  <si>
    <t>Thintv31281898m.g</t>
  </si>
  <si>
    <t>Thintv31008243m.g</t>
  </si>
  <si>
    <t>E2F-like protein,Transcription Factor DP</t>
  </si>
  <si>
    <t>cell cycle progression</t>
  </si>
  <si>
    <t>Thintv31166479m.g</t>
  </si>
  <si>
    <t>NADPH oxidase</t>
  </si>
  <si>
    <t>respiratory burst oxidase homolog protein B-like</t>
  </si>
  <si>
    <t>NADPH oxidase is a multisubunit enzyme comprising membrane and cytosolic components, which actively communicate during the host responses to a wide variety of stimuli, including viral and bacterial infections. This enzymatic complex has been implicated in many functions ranging from host defense to cellular signaling and the regulation of gene expression. NADPH oxidase (NOX)-mediated release of ROS, also called oxidative burst, leads to the elimination of invading microorganisms in macrophages and neutrophils and thereby serves as an inflammatory mediator</t>
  </si>
  <si>
    <t>Panday, A., Sahoo, M., Osorio, D. et al. NADPH oxidases: an overview from structure to innate immunity-associated pathologies. Cell Mol Immunol 12, 5–23 (2015). https://doi.org/10.1038/cmi.2014.89</t>
  </si>
  <si>
    <t>Thintv31177365m.g</t>
  </si>
  <si>
    <t>Ubiquitin activating enzyme</t>
  </si>
  <si>
    <t>ubiquitin activating enzyme E1</t>
  </si>
  <si>
    <t>ubiquitin activating enzyme (E1) couples ubiquitin activation to ATP hydrolysis as an initial step in the conjugation of multiple ubiquitins in the degradation of protiens. In addition to regulating photomorphogenesis by removing the active form of phytochrome A, ubiquitin degradation processes include meristem developement, vascular tissue differentiation, senescence, and the heat shock responce. </t>
  </si>
  <si>
    <t>Hatfield, P.M., Gosink, M.M., Carpenter, T.B. and Vierstra, R.D. (1997), The ubiquitin-activating enzyme (E1) gene family in Arabidopsis thaliana. The Plant Journal, 11: 213-226. https://doi.org/10.1046/j.1365-313X.1997.11020213.x</t>
  </si>
  <si>
    <t>Thintv31352601m.g</t>
  </si>
  <si>
    <t>Thintv31398741m.g</t>
  </si>
  <si>
    <t>H+/oligopeptide symporter</t>
  </si>
  <si>
    <t>oligopeptide transporters (OPTs) are the egroup of proton-coupled symporters that play diverse roles in metal homeostasis, nitrogen mobilization, and sulfur distribution</t>
  </si>
  <si>
    <t>Wang Chaohui , Wang Xueqin , Li Jinxiu , Guan Junhua , Tan Zengjing , Zhang Zheng , Shi Gangrong. Genome-Wide Identification and Transcript Analysis Reveal Potential Roles of Oligopeptide Transporter Genes in Iron Deficiency Induced Cadmium Accumulation in Peanut. Frontiers in Plant Science. VOLUME 13. 2022. https://www.frontiersin.org/journals/plant-science/articles/10.3389/fpls.2022.894848. DOI:10.3389/fpls.2022.894848. ISSN:1664-462X</t>
  </si>
  <si>
    <t>Uncharacterized; gliadin-Ds; storage protien activator locus; cytosolic acetyle-CoA-carboxylate; magnesium transporter NIPA</t>
  </si>
  <si>
    <t>97%; 97%; 100%; 98%; 100%</t>
  </si>
  <si>
    <t>88%; 87.56%; 80.3%; 80.1%; 77.78%</t>
  </si>
  <si>
    <t>wheat gluten proteins ; Acetyl-CoA carboxylase (ACCase) directs the flow of carbon from photosynthesis to primary and secondary metabolites in plants; Mg transporters (MGTs) are involving in maintaining Mg homeostasis in cells</t>
  </si>
  <si>
    <t>Thintv31061869m.g</t>
  </si>
  <si>
    <t>Formin Homology 2 Domain; Rho GTPase effector BNI1</t>
  </si>
  <si>
    <t>formin-like protein</t>
  </si>
  <si>
    <t>Formin proteins are effectors of Rho GTPases. Possible mediators of coordination of the cortical actin and microtubule cytoskeletons, as well as their attachment to the plasma membrane, that is, aspects of cell cortex organization likely to be important for cell and tissue morphogenesis</t>
  </si>
  <si>
    <t>Cvrčková F. Formins: emerging players in the dynamic plant cell cortex. Scientifica (Cairo). 2012;2012:712605. doi: 10.6064/2012/712605. Epub 2012 Sep 26. PMID: 24278734; PMCID: PMC3820618.</t>
  </si>
  <si>
    <t>Thintv31217291m.g</t>
  </si>
  <si>
    <t>AMP-binding enzyme C-terminal domain;Acyl-CoA synthetase</t>
  </si>
  <si>
    <t>4-coumarate--CoA ligase-like</t>
  </si>
  <si>
    <t>Acetyl-coenzyme A (acetyl-CoA) is a central metabolic intermediate that modulates the balance of anabolism and catabolism by functioning as the fuel for energy generation or as the precursor of lipogenesis for energy storage. Acetyl-coenzyme A synthetase catalyzes the biosynthesis of acetyl-CoA from acetate, coenzyme A (CoA), and ATP. cAMP inhibits the activity of Salmonella enterica Acetyl-coenzyme A synthetase (SeAcs) by directly binding to the enzyme and competing against one of its substrates, ATP. The binding of cAMP increases SeAcs Lys609 acetylation, which further inhibits SeAcs activity. </t>
  </si>
  <si>
    <t>Xiaobiao Han, Liqiang Shen, Qijun Wang, Xufeng Cen, Jin Wang, Meng Wu, Peng Li, Wei Zhao, Yu Zhang, Guoping Zhao, Cyclic AMP Inhibits the Activity and Promotes the Acetylation of Acetyl-CoA Synthetase through Competitive Binding to the ATP/AMP Pocket, Journal of Biological Chemistry, Volume 292, Issue 4, 2017, Pages 1374-1384, ISSN 0021-9258, https://doi.org/10.1074/jbc.M116.753640.</t>
  </si>
  <si>
    <t>Thintv31230471m.g</t>
  </si>
  <si>
    <t>Dip2/Utp12 Family</t>
  </si>
  <si>
    <t>WDD repeat-containing protein 43-like</t>
  </si>
  <si>
    <t>DOM34 INTERACTING PROTEIN 2 (DIP2/UTP12) ; WD repeats (WDRs) are known to serve as platforms for the assembly of protein complexes or mediators of transient interplay among other proteins. Key regulators of plant-specific developmental events. </t>
  </si>
  <si>
    <t>van Nocker, S., Ludwig, P. The WD-repeat protein superfamily in Arabidopsis: conservation and divergence in structure and function. BMC Genomics 4, 50 (2003). https://doi.org/10.1186/1471-2164-4-50</t>
  </si>
  <si>
    <t>Thintv31371137m.g</t>
  </si>
  <si>
    <t>gamma gliadin-Bx,delta gliadin-Bx,omega gliadin-Bx</t>
  </si>
  <si>
    <t>Thintv31386772m.g</t>
  </si>
  <si>
    <t>F-box domain, protein binding</t>
  </si>
  <si>
    <t>F-box protein</t>
  </si>
  <si>
    <t>F-box proteins play regulatory roles in protein degradation through the proteolytic mechanism of multi-protein E3 ubiquitin ligase in response to cellular signals during plant development and growth, hormone responses, and biotic/abiotic stress responses. F-box family play specific roles in protein degradation by post-translational modification in several biological processes, including flowering, the regulation of circadian rhythms, photomorphogenesis, seed development, leaf senescence, and hormone signaling.</t>
  </si>
  <si>
    <t>Hong MJ, Kim JB, Seo YW, Kim DY. F-Box Genes in the Wheat Genome and Expression Profiling in Wheat at Different Developmental Stages. Genes (Basel). 2020 Sep 30;11(10):1154. doi: 10.3390/genes11101154. PMID: 33007852; PMCID: PMC7650748.</t>
  </si>
  <si>
    <t>Thintv31224334m.g</t>
  </si>
  <si>
    <t>Thintv31309704m.g</t>
  </si>
  <si>
    <t>Dihydrokaempferol 4-reductase</t>
  </si>
  <si>
    <t>dihydroflavonol 4-reductase (DFR) catalyzes the reduction of dihydroflavonols such as dihydrokaempferol, dihydroquercetin, and dihydromyricetin to leucoanthocyanidins in the anthocyanin biosynthetic pathway and is therefore considered one of the key enzymes controlling the carbon flux direction in anthocyanin pigmentation. Anthocyanins form photoprotective screens in vegetative tissue, act as visual attractors to aid pollination and seed dispersal, and function as antimicrobial agents and feeding deterrents in the defense response. Wheat anthocyanins play wheat-specific roles in grain dormancy, resistance to preharvest sprouting, and the brightness of wheat flour (Havrlentova et al. 2014), in addition to their involvement in pollination, seed dispersal, and light screening. </t>
  </si>
  <si>
    <t>Shin, D.H., Choi, MG., Kang, CS. et al. Overexpressing the wheat dihydroflavonol 4-reductase gene TaDFR increases anthocyanin accumulation in an Arabidopsis dfr mutant. Genes Genom 38, 333–340 (2016). https://doi.org/10.1007/s13258-015-0373-3</t>
  </si>
  <si>
    <t>homeobox-leucine zipper protein ROC6-like</t>
  </si>
  <si>
    <t>The homeobox genes have been recognized as the master genese that specify the body plan and regulate development. Control epideremis development. Leucine zipper motifs are important domains for protein-protien interactions and are present in GL2-type homeodomain proteins which are controled by Roc genes. </t>
  </si>
  <si>
    <t>Ito, Momoyo &amp; Sentoku, Naoki &amp; Nishimura, Asuka &amp; Hong, Soon-Kwan &amp; Sato, Yutaka &amp; Matsuoka, Makoto. (2003). Roles of Rice GL2-type Homeobox Genes in Epidermis Differentiation. Breeding Science - BREEDING SCI. 53. 245-253. 10.1270/jsbbs.53.245. </t>
  </si>
  <si>
    <t>cysteine-rich receptor-like protein kinase</t>
  </si>
  <si>
    <t>Receptor-like kinases (RLKs) are conserved upstream signaling molecules that regulate several biological processes, including plant development and stress adaptation. Cysteine (C)-rich receptor-like kinases (CRKs) are an important class of RLK that play vital roles in disease resistance and cell death in plants.</t>
  </si>
  <si>
    <t>Quezada EH, García GX, Arthikala MK, Melappa G, Lara M, Nanjareddy K. Cysteine-Rich Receptor-Like Kinase Gene Family Identification in the Phaseolus Genome and Comparative Analysis of Their Expression Profiles Specific to Mycorrhizal and Rhizobial Symbiosis. Genes (Basel). 2019 Jan 17;10(1):59. doi: 10.3390/genes10010059. PMID: 30658517; PMCID: PMC6356535.</t>
  </si>
  <si>
    <t>Thintv31081687m.g</t>
  </si>
  <si>
    <t>Glycerol-3-phosphate dehydrogenase (NAD(+))</t>
  </si>
  <si>
    <t>glycerol-3-phosphate dehydrogenase (NAD(+))</t>
  </si>
  <si>
    <t>Glycerol-3-phosphate dehydrogenase (GPDH) catalyzes the formation of glycerol-3-phosphate, and plays an essential role in glycerolipid metabolism and in response to various stresses (salinity, dehydration, oxygen availability, low tempreature, stripe rust). GPDHs also play important roles on glycerol lipid metabolism. G3P is generated directly from dihydroxyacetone phosphate (DHAP) via NAD+-dependent glycerol-3- phosphate dehydrogenase (GPDH, EC 1.1.1.8), catalyzing the reduction of NADH and DHAP to form NAD+ and G3P.</t>
  </si>
  <si>
    <t>Zhao Y, Li X, Wang F, Zhao X, Gao Y, Zhao C, He L, Li Z, Xu J. Glycerol-3-phosphate dehydrogenase (GPDH) gene family in Zea mays L.: Identification, subcellular localization, and transcriptional responses to abiotic stresses. PLoS One. 2018 Jul 10;13(7):e0200357. doi: 10.1371/journal.pone.0200357. PMID: 29990328; PMCID: PMC6039019.</t>
  </si>
  <si>
    <t>Thintv31117031m.g</t>
  </si>
  <si>
    <t>Trans-feruloyl-CoA synthase</t>
  </si>
  <si>
    <t>4-coumarate--CoA ligase 3-like</t>
  </si>
  <si>
    <t>trans-feruloyl-COA is a necessary intermediate in the biosynthesis of coniferyl alcohol-one of three precursors (along with 4-coumaryl and sinapyl alcohols) for lignin formation within the plant cell wall. Among other functions, lignin is believed to contribute to plant defense ; Acetyl-coenzyme A (acetyl-CoA) is a central metabolic intermediate that modulates the balance of anabolism and catabolism by functioning as the fuel for energy generation or as the precursor of lipogenesis for energy storage. Acetyl-coenzyme A synthetase catalyzes the biosynthesis of acetyl-CoA from acetate, coenzyme A (CoA), and ATP. cAMP inhibits the activity of Salmonella enterica Acetyl-coenzyme A synthetase (SeAcs) by directly binding to the enzyme and competing against one of its substrates, ATP. The binding of cAMP increases SeAcs Lys609 acetylation, which further inhibits SeAcs activity. </t>
  </si>
  <si>
    <t>Thintv31118542m.g</t>
  </si>
  <si>
    <t>magnesium ion transport</t>
  </si>
  <si>
    <t>Mg2+ is involved in chloroplast synthesis, regulation of osmotic pressure, intracellular enzyme activity, synthesis of proteins and nucleic acids and maintains the cation-anion balance in cell (Marschner and Marschner, 2012). Magnesium deficiency can adversely affect plant cells, like reducing macromolecular synthesis, photosynthetic capacity, and plant growth. Magnesium transporter proteins (MGTs), also known as Magnesium Transporter MRS2, play a critical role in maintaining Mg homeostasis in plant cells</t>
  </si>
  <si>
    <t>Tang Y, Yang X, Li H, Shuai Y, Chen W, Ma D, Lü Z. Uncovering the role of wheat magnesium transporter family genes in abiotic responses. Front Plant Sci. 2023 Feb 9;14:1078299. doi: 10.3389/fpls.2023.1078299. PMID: 36844102; PMCID: PMC9948656.</t>
  </si>
  <si>
    <t>Thintv31284194m.g</t>
  </si>
  <si>
    <t>ATPase containing the peptidase M41, proteolysis, metalloendopeptidase activity</t>
  </si>
  <si>
    <t>ATP-dependent zinc metalloprotease FTSH1</t>
  </si>
  <si>
    <t>M41 protease induced by both biotrophic and necrotrophic pathogens ; nitrogen metabolism (metalloendopeptidase) ; FtsH is an ATP-dependent zinc metalloprotease complex that belongs to the AAA (ATPase associated with diverse cellular activities) protease subfamily which plays role in chloroplast protein homeostasisis and is the major thylakoid membrane protease, biogenesis of thylakoid membranes and the quality control of thylakoid membrane proteins.</t>
  </si>
  <si>
    <t>3B-specific BAC library</t>
  </si>
  <si>
    <t>Thintv31135399m.g</t>
  </si>
  <si>
    <t>ADP binding</t>
  </si>
  <si>
    <t>disease resistance protein Pik-2-like</t>
  </si>
  <si>
    <t>T.diccoides</t>
  </si>
  <si>
    <t>NLR proteins mediate host responses to pathogen sensors and can regulate inflammatory response during pathogen invasion</t>
  </si>
  <si>
    <t>Zhengmao Ye, Jenny Pan-Yun Ting, NLR, the nucleotide-binding domain leucine-rich repeat containing gene family, Current Opinion in Immunology, Volume 20, Issue 1, 2008, Pages 3-9, ISSN 0952-7915, https://doi.org/10.1016/j.coi.2008.01.003.</t>
  </si>
  <si>
    <t>Thintv31249534m.g</t>
  </si>
  <si>
    <t>Ubiquitin--protein ligase</t>
  </si>
  <si>
    <t>The ubiquitin/26S proteasome system is one of the most important mechanisms employed by plants for responding to stress. E3 ubiquitin ligase is an important part of the ubiquitin/26S proteasome system. Responds to different abiotic stresses, such as drought, salt, and abscisic acid treatment. RING E3 ubiquitin ligase TaDIS1 may through the posttranslational regulation of TaSTP to play an important role in drought tolerance. Ubiquiutin ligase TaGW2 has been identified as a key determinant of the grain weight in wheat.</t>
  </si>
  <si>
    <t>Thintv31272766m.g</t>
  </si>
  <si>
    <t>DNA helicase</t>
  </si>
  <si>
    <t>probable DNA helicase MCM9 </t>
  </si>
  <si>
    <t>MCM8 and MCM9 form a functional helicase complex (MCM8/9) that plays an essential role in DNA homologous recombination repair for DNA double-strand break. MCM8/9 are recent additions to the catalog of helicases involved in recombination. Mutations in MCM8/9 correlate principally with primary ovarian failure/insufficiency (POF/POI) and infertility indicating a meiotic defect. </t>
  </si>
  <si>
    <t>T.dicoccoides</t>
  </si>
  <si>
    <t>omega gliadin-D1 / glycosyltransferase-like</t>
  </si>
  <si>
    <t>100% / 78%</t>
  </si>
  <si>
    <t>94.31% / 98.88%</t>
  </si>
  <si>
    <t>wheat gluten proteins ; flavonoid biosynthesis pathway</t>
  </si>
  <si>
    <t>Thintv31002694m.g</t>
  </si>
  <si>
    <t>Thintv31190369m.g</t>
  </si>
  <si>
    <t>Aspartyl protease, Nepenthesin, Xylanase inhibitor</t>
  </si>
  <si>
    <t>aspartic protease in guard cell</t>
  </si>
  <si>
    <t>BTB/POZ and MATH domain-containing protein 1-like</t>
  </si>
  <si>
    <t>BTB/POZ family use their BTB/POZ domain to assemble with CUL3 proteins. Cullins are scaffolding subunits of multimeric E3-ligases that can polyubiquitinate their substrates and thereby target them for degradation via the 26S proteasome, potentially serving as substrate adaptors for CUL3-based E3-ligases. The MATH domain of BPM proteins is used to assemble with members of the ethylene response factor/Apetala2 (ERF/AP2) transcription factor family. Noted in abiotic stress tolerance, red light response and ethylene signaling</t>
  </si>
  <si>
    <t>Weber, H. and Hellmann, H. (2009), Arabidopsis thaliana BTB/ POZ-MATH proteins interact with members of the ERF/AP2 transcription factor family. The FEBS Journal, 276: 6624-6635. https://doi.org/10.1111/j.1742-4658.2009.07373.x</t>
  </si>
  <si>
    <t>Thintv31028474m.g</t>
  </si>
  <si>
    <t>Unidentified</t>
  </si>
  <si>
    <t>Thintv31177157m.g</t>
  </si>
  <si>
    <t>Thaumatin family</t>
  </si>
  <si>
    <t>thaumatin-like protien</t>
  </si>
  <si>
    <t>Thaumatin-like proteins (TLPs) are a highly complex protein family associated with host defense and developmental processes. In plants they are classified as the PR-5 (Pathogenesis-Related-5) protein family mostly associated with responses to biotic stresses, in addition to some predicted activities under drought and osmotic stresses. </t>
  </si>
  <si>
    <t>de Jesús-Pires C, Ferreira-Neto JRC, Pacifico Bezerra-Neto J, Kido EA, de Oliveira Silva RL, Pandolfi V, Wanderley-Nogueira AC, Binneck E, da Costa AF, Pio-Ribeiro G, Pereira-Andrade G, Sittolin IM, Freire-Filho F, Benko-Iseppon AM. Plant Thaumatin-like Proteins: Function, Evolution and Biotechnological Applications. Curr Protein Pept Sci. 2020;21(1):36-51. doi: 10.2174/1389203720666190318164905. PMID: 30887921.</t>
  </si>
  <si>
    <t>BTB/POZ and MATH domain-containing protein 3-like</t>
  </si>
  <si>
    <t>Thintv31284463m.g</t>
  </si>
  <si>
    <t>Aquaporin (major intrinsic protein family)</t>
  </si>
  <si>
    <t>zingipain-2-like; ervatamin-B</t>
  </si>
  <si>
    <t>T.dicoccoides; T.aestivum</t>
  </si>
  <si>
    <t>99%; 100%</t>
  </si>
  <si>
    <t>96.98%; 91.04%</t>
  </si>
  <si>
    <r>
      <t>Cysteine protease with antiproliferative effect</t>
    </r>
    <r>
      <rPr>
        <sz val="10"/>
        <color rgb="FF000000"/>
        <rFont val="Arial"/>
        <family val="2"/>
      </rPr>
      <t> against fungi</t>
    </r>
  </si>
  <si>
    <t>Karnchanatat, A., Tiengburanatam, N., Boonmee, A., Puthong, S., &amp; Sangvanich, P. (2011). ZINGIPAIN, A CYSTEINE PROTEASE FROM Zingiber ottensii VALETON RHIZOMES WITH ANTIPROLIFERATIVE ACTIVITIES AGAINST FUNGI AND HUMAN MALIGNANT CELL LINES. Preparative Biochemistry &amp; Biotechnology, 41(2), 138–153. https://doi.org/10.1080/10826068.2011.547347</t>
  </si>
  <si>
    <t>mRNA for predicted protein</t>
  </si>
  <si>
    <t>Thintv31296780m.g</t>
  </si>
  <si>
    <t>DHHC palmitoyltransferase;Protein S-acyltransferase</t>
  </si>
  <si>
    <t>protein S-acyltransferase 8-like</t>
  </si>
  <si>
    <t>S-acyltransferases are a class of palmitoyltransferases. These proteins are transmembrane thiol-directed protein acyltransferases (PATs). These enzymes catalyze the attachment of palmitoyl (and sometimes other acyl groups) to specific cysteines within the target proteins through a thioester bond. They contain a cysteine rich DHHC domain thought to be responsible for catalyzing the palmitoyl-transferase activity. Have critical roles in a variety of protein functions involved in plant development and responses to abiotic and biotic stresses. </t>
  </si>
  <si>
    <t>The leucine-rich repeats (LRR)-containing domain is evolutionarily conserved in many proteins associated with innate immunity in plants, invertebrates and vertebrates. Serving as a first line of defense, the innate immune response is initiated through the sensing of pathogen-associated molecular patterns (PAMPs). In plants, NBS (nucleotide-binding site)-LRR proteins provide recognition of pathogen products of avirulence (AVR) genes. LRRs also promote interaction between LRR proteins as observed in receptor-coreceptor complexes. The core nucleotide-binding fold in NB-LRR proteins is part of a larger entity called the NB-ARC domain because of its presence in APAF-1 (apoptotic protease-activating factor-1), R proteins and CED-4 (Caenorhabditis elegans death-4 protein). R proteins trigger the induction of plant defences to restrict pathogen proliferation, often localized cell death through apotosis</t>
  </si>
  <si>
    <t>No Significant Hits</t>
  </si>
  <si>
    <t>No Proximal Genes</t>
  </si>
  <si>
    <t>Peng Jiang, James A. Peliska, and Alexander J. Ninfa. Enzymological Characterization of the Signal-Transducing Uridylyltransferase/Uridylyl-Removing Enzyme (EC 2.7.7.59) of Escherichia coli and Its Interaction with the PII Protein†. Biochemistry 1998 37 (37), 12782-12794. DOI: 10.1021/bi980667m
Merrick M. Post-translational modification of P II signal transduction proteins. Front Microbiol. 2015 Jan 6;5:763. doi: 10.3389/fmicb.2014.00763. PMID: 25610437; PMCID: PMC4285133.
Takashi Osanai, Ayuko Kuwahara, Hitomi Otsuki, Kazuki Saito, Masami Yokota Hirai, ACR11 is an Activator of Plastid-Type Glutamine Synthetase GS2 in Arabidopsis thaliana, Plant and Cell Physiology, Volume 58, Issue 4, April 2017, Pages 650–657, https://doi.org/10.1093/pcp/pcx033</t>
  </si>
  <si>
    <t>Salah Ud-Din AI, Tikhomirova A, Roujeinikova A. Structure and Functional Diversity of GCN5-Related N-Acetyltransferases (GNAT). Int J Mol Sci. 2016 Jun 28;17(7):1018. doi: 10.3390/ijms17071018. PMID: 27367672; PMCID: PMC4964394.
Kawasaki A, Chikugo A, Tamura K, Seki H, Muranaka T. Characterization of UDP-glucose dehydrogenase isoforms in the medicinal legume Glycyrrhiza uralensis. Plant Biotechnol (Tokyo). 2021 Jun 25;38(2):205-218. doi: 10.5511/plantbiotechnology.21.0222a. PMID: 34393599; PMCID: PMC8329271.
Jonathan J. Powell, Jason Carere, Timothy L. Fitzgerald, Jiri Stiller, Lorenzo Covarelli, Qian Xu, Frank Gubler, Michelle L. Colgrave, Donald M. Gardiner, John M. Manners, Robert J. Henry, Kemal Kazan, The Fusarium crown rot pathogen Fusarium pseudograminearum triggers a suite of transcriptional and metabolic changes in bread wheat (Triticum aestivum L.), Annals of Botany, Volume 119, Issue 5, March 2017, Pages 853–867, https://doi.org/10.1093/aob/mcw207</t>
  </si>
  <si>
    <t>Noguchi A, Saito A, Homma Y, Nakao M, Sasaki N, Nishino T, Takahashi S, Nakayama T. A UDP-glucose:isoflavone 7-O-glucosyltransferase from the roots of soybean (glycine max) seedlings. Purification, gene cloning, phylogenetics, and an implication for an alternative strategy of enzyme catalysis. J Biol Chem. 2007 Aug 10;282(32):23581-90. doi: 10.1074/jbc.M702651200. Epub 2007 Jun 11. PMID: 17565994.        
Nawel Hayder, Ines Bouhlel, Ines Skandrani, Malika Kadri, Régine Steiman, Pascale Guiraud, Anne-Marie Mariotte, Kamel Ghedira, Marie-Geneviève Dijoux-Franca, Leila Chekir-Ghedira, In vitro antioxidant and antigenotoxic potentials of myricetin-3-o-galactoside and myricetin-3-o-rhamnoside from Myrtus communis: Modulation of expression of genes involved in cell defence system using cDNA microarray, Toxicology in Vitro, Volume 22, Issue 3, 2008, Pages 567-581, ISSN 0887-2333, https://doi.org/10.1016/j.tiv.2007.11.015.</t>
  </si>
  <si>
    <t>Ng A, Xavier RJ. Leucine-rich repeat (LRR) proteins: integrators of pattern recognition and signaling in immunity. Autophagy. 2011 Sep;7(9):1082-4. doi: 10.4161/auto.7.9.16464. Epub 2011 Sep 1. PMID: 21606681; PMCID: PMC3901792.        
Gerben van Ooijen, Gabriele Mayr, Mobien M. A. Kasiem, Mario Albrecht, Ben J. C. Cornelissen, Frank L. W. Takken, Structure–function analysis of the NB-ARC domain of plant disease resistance proteins, Journal of Experimental Botany, Volume 59, Issue 6, April 2008, Pages 1383–1397, https://doi.org/10.1093/jxb/ern045</t>
  </si>
  <si>
    <t>Lemmon MA. Pleckstrin homology (PH) domains and phosphoinositides. Biochem Soc Symp. 2007;(74):81-93. doi: 10.1042/BSS0740081. PMID: 17233582; PMCID: PMC3777418.        
Jakub Hajný, Shutang Tan, Jiří Friml, Auxin canalization: From speculative models toward molecular players, Current Opinion in Plant Biology, Volume 65, 2022, 102174, ISSN 1369-5266, https://doi.org/10.1016/j.pbi.2022.102174.        
FORKED1 encodes a PH domain protein that is required for PIN1 localization in developing leaf veins. Hou H, Erickson J, Meservy J, Schultz EA. Plant J. 63, 960-73, (2010).View articlePMID: 20626652</t>
  </si>
  <si>
    <t>Yao X, Nie J, Bai R, Sui X. Amino Acid Transporters in Plants: Identification and Function. Plants (Basel). 2020 Jul 31;9(8):972. doi: 10.3390/plants9080972. PMID: 32751984; PMCID: PMC7466100.        
Wan Y, King R, Mitchell RAC, Hassani-Pak K, Hawkesford MJ. Spatiotemporal expression patterns of wheat amino acid transporters reveal their putative roles in nitrogen transport and responses to abiotic stress. Sci Rep. 2017 Jul 14;7(1):5461. doi: 10.1038/s41598-017-04473-3. PMID: 28710348; PMCID: PMC5511167.        
Qiao F, Kong LA, Peng H, Huang WK, Wu DQ, Liu SM, Clarke JL, Qiu DW, Peng DL. Transcriptional profiling of wheat (Triticum aestivum L.) during a compatible interaction with the cereal cyst nematode Heterodera avenae. Sci Rep. 2019 Feb 18;9(1):2184. doi: 10.1038/s41598-018-37824-9. PMID: 30778126; PMCID: PMC6379437.</t>
  </si>
  <si>
    <t>Sam Manna, An overview of pentatricopeptide repeat proteins and their applications, Biochimie, Volume 113, 2015, 93-99, ISSN 0300-9084, https://doi.org/10.1016/j.biochi.2015.04.004. 
Chen, L., Li, Yx., Li, C. et al. Genome-wide analysis of the pentatricopeptide repeat gene family in different maize genomes and its important role in kernel development. BMC Plant Biol 18, 366 (2018). https://doi.org/10.1186/s12870-018-1572-2</t>
  </si>
  <si>
    <t xml:space="preserve">Duran Elizabeth C. , Weaver Clarissa L. , Lucius Aaron L. Comparative Analysis of the Structure and Function of AAA+ Motors ClpA, ClpB, and Hsp104: Common Threads and Disparate Functions. Frontiers in Molecular Biosciences. VOLUME 4. 2017. https://www.frontiersin.org/journals/molecular-biosciences/articles/10.3389/fmolb.2017.00054. DOI=10.3389/fmolb.2017.00054. ISSN=2296-889X        
Yufeng Zhang, Hongyao Lou, Dandan Guo, Ruiqi Zhang, Meng Su, Zhenghong Hou, Haiying Zhou, Rongqi Liang, Chaojie Xie, Mingshan You, Baoyun Li, Identifying changes in the wheat kernel proteome under heat stress using iTRAQ, The Crop Journal, Volume 6, Issue 6, 2018, Pages 600-610, ISSN 2214-5141, https://doi.org/10.1016/j.cj.2018.04.003.  </t>
  </si>
  <si>
    <t>Ruta V, Longo C, Lepri A, De Angelis V, Occhigrossi S, Costantino P, Vittorioso P. The DOF Transcription Factors in Seed and Seedling Development. Plants. 2020; 9(2):218. https://doi.org/10.3390/plants9020218        
Habib, Z. 2022. DNA-binding One Zinc Finger (DOF) transcription factors in Vigna species: A Review. Phytopathogenomics and Disease Control 1:37-54.</t>
  </si>
  <si>
    <t xml:space="preserve">Han G, Qiao Z, Li Y, Wang C, Wang B. The Roles of CCCH Zinc-Finger Proteins in Plant Abiotic Stress Tolerance. Int J Mol Sci. 2021 Aug 3;22(15):8327. doi: 10.3390/ijms22158327. PMID: 34361093; PMCID: PMC8347928.        
Ali Noman, Muhammad Aqeel, Noreen Khalid, Waqar Islam, Tayyaba Sanaullah, Muhammad Anwar, Shahbaz Khan, Wenfeng Ye, Yonggen Lou, Zinc finger protein transcription factors: Integrated line of action for plant antimicrobial activity, Microbial Pathogenesis, Volume 132, 2019, Pages 141-149, ISSN 0882-4010, https://doi.org/10.1016/j.micpath.2019.04.042.        </t>
  </si>
  <si>
    <t xml:space="preserve">Sam Manna, An overview of pentatricopeptide repeat proteins and their applications, Biochimie, Volume 113, 2015, 93-99, ISSN 0300-9084, https://doi.org/10.1016/j.biochi.2015.04.004.        
Chen, L., Li, Yx., Li, C. et al. Genome-wide analysis of the pentatricopeptide repeat gene family in different maize genomes and its important role in kernel development. BMC Plant Biol 18, 366 (2018). https://doi.org/10.1186/s12870-018-1572-2        </t>
  </si>
  <si>
    <t>He Y, Song Q, Wu Y, Ye S, Chen S, Chen H. TMT-Based Quantitative Proteomic Analysis Reveals the Crucial Biological Pathways Involved in Self-Incompatibility Responses in Camellia oleifera. International Journal of Molecular Sciences. 2020; 21(6):1987. https://doi.org/10.3390/ijms21061987
Chen X, Tao Y, Ali A, Zhuang Z, Guo D, Guo Q, Riaz A, Zhang H, Xu P, Liao Y, et al. Transcriptome and Proteome Profiling of Different Colored Rice Reveals Physiological Dynamics Involved in the Flavonoid Pathway. International Journal of Molecular Sciences. 2019; 20(10):2463. https://doi.org/10.3390/ijms20102463</t>
  </si>
  <si>
    <t>https://biocyc.org/META/NEW-IMAGE?type=ENZYME&amp;object=MONOMER-6702
M. Shin, C. Umezawa, T. Shin, NATURAL ANTI-MICROBIAL SYSTEMS | Antimicrobial Compounds in Plants, Encyclopedia of Food Microbiology (Second Edition), Academic Press, 2014, 920-929, ISBN 9780123847331, https://doi.org/10.1016/B978-0-12-384730-0.00239-1.</t>
  </si>
  <si>
    <t>Perrotta Lara , Giordo Roberta , Francis Dennis , Rogers Hilary J. , Albani Diego. Molecular Analysis of the E2F/DP Gene Family of Daucus carota and Involvement of the DcE2F1 Factor in Cell Proliferation. Frontiers in Plant Science. Volume 12. 2021. https://www.frontiersin.org/journals/plant-science/articles/10.3389/fpls.2021.652570. DOI: 10.3389/fpls.2021.652570. ISSN:1664-462X
Klaas Vandepoele, Kobe Vlieghe, Kobe Florquin, Lars Hennig, Gerrit T.S. Beemster, Wilhelm Gruissem, Yves Van de Peer, Dirk Inzé, Lieven De Veylder, Genome-Wide Identification of Potential Plant E2F Target Genes, Plant Physiology, Volume 139, Issue 1, September 2005, Pages 316–328, https://doi.org/10.1104/pp.105.066290</t>
  </si>
  <si>
    <t>Altenbach SB, Chang HC, Yu XB, Seabourn BW, Green PH, Alaedini A. Elimination of Omega-1,2 Gliadins From Bread Wheat (Triticum aestivum) Flour: Effects on Immunogenic Potential and End-Use Quality. Front Plant Sci. 2019 May 9;10:580. doi: 10.3389/fpls.2019.00580. PMID: 31143195; PMCID: PMC6521778.
Podkowinski J, Jelenska J, Sirikhachornkit A, Zuther E, Haselkorn R, Gornicki P. Expression of cytosolic and plastid acetyl-coenzyme A carboxylase genes in young wheat plants. Plant Physiol. 2003 Feb;131(2):763-72. doi: 10.1104/pp.013169. PMID: 12586900; PMCID: PMC166852.
Faraji, S., Ahmadizadeh, M. &amp; Heidari, P. Genome-wide comparative analysis of Mg transporter gene family between Triticum turgidum and Camelina sativa. Biometals 34, 639–660 (2021). https://doi.org/10.1007/s10534-021-00301-4</t>
  </si>
  <si>
    <t>Zhang XH, Dickson EE, Chinnappa CC. Nucleotide sequence of a cDNA clone encoding caffeoyl-coenzyme A 3-O-methyltransferase of Stellaria longipes (Caryophyllaceae). Plant Physiol. 1995 May;108(1):429-30. doi: 10.1104/pp.108.1.429. PMID: 7784517; PMCID: PMC157354.
Xiaobiao Han, Liqiang Shen, Qijun Wang, Xufeng Cen, Jin Wang, Meng Wu, Peng Li, Wei Zhao, Yu Zhang, Guoping Zhao, Cyclic AMP Inhibits the Activity and Promotes the Acetylation of Acetyl-CoA Synthetase through Competitive Binding to the ATP/AMP Pocket, Journal of Biological Chemistry, Volume 292, Issue 4, 2017, Pages 1374-1384, ISSN 0021-9258, https://doi.org/10.1074/jbc.M116.753640.</t>
  </si>
  <si>
    <t>Balakireva AV, Deviatkin AA, Zgoda VG, Kartashov MI, Zhemchuzhina NS, Dzhavakhiya VG, Golovin AV, Zamyatnin AA Jr. Proteomics Analysis Reveals That Caspase-Like and Metacaspase-Like Activities Are Dispensable for Activation of Proteases Involved in Early Response to Biotic Stress in Triticum aestivum L. International Journal of Molecular Sciences. 2018; 19(12):3991. https://doi.org/10.3390/ijms19123991
Hou G, Du C, Gao H, Liu S, Sun W, Lu H, Kang J, Xie Y, Ma D, Wang C. Identification of microRNAs in developing wheat grain that are potentially involved in regulating grain characteristics and the response to nitrogen levels. BMC Plant Biol. 2020 Feb 27;20(1):87. doi: 10.1186/s12870-020-2296-7. PMID: 32103721; PMCID: PMC7045451.</t>
  </si>
  <si>
    <t>Qian Lv, Li Zhang, Ting Zan, Liqun Li, Xuejun Li, Wheat RING E3 ubiquitin ligase TaDIS1 degrade TaSTP via the 26S proteasome pathway, Plant Science, Volume 296, 2020, 110494, ISSN 0168-9452, https://doi.org/10.1016/j.plantsci.2020.110494.
Qian Lv, Liqun Li, Ying Meng, Huimin Sun, Liuping Chen, Bingxin Wang, Xuejun Li, Wheat E3 ubiquitin ligase TaGW2-6A degrades TaAGPS to affect seed size, Plant Science, Volume 320, 2022, 111274, ISSN 0168-9452, https://doi.org/10.1016/j.plantsci.2022.111274.</t>
  </si>
  <si>
    <t>Weng Zhuangfeng, Zheng Jiefu, Zhou Yiyi, Lu Zuer, Wu Yixi, Xu Dongyi, Li Huanhuan, Liang Huanhuan, Liu Yingfang (2023) Structural and mechanistic insights into the MCM8/9 helicase complex eLife 12:RP87468. https://doi.org/10.7554/eLife.87468.2
Wezley C. Griffin, Michael A. Trakselis, The MCM8/9 complex: A recent recruit to the roster of helicases involved in genome maintenance, DNA Repair, Volume 76, 2019, Pages 1-10, ISSN 1568-7864, https://doi.org/10.1016/j.dnarep.2019.02.003.</t>
  </si>
  <si>
    <t>Altenbach SB, Chang HC, Yu XB, Seabourn BW, Green PH, Alaedini A. Elimination of Omega-1,2 Gliadins From Bread Wheat (Triticum aestivum) Flour: Effects on Immunogenic Potential and End-Use Quality. Front Plant Sci. 2019 May 9;10:580. doi: 10.3389/fpls.2019.00580. PMID: 31143195; PMCID: PMC6521778.
Chen X, Tao Y, Ali A, Zhuang Z, Guo D, Guo Q, Riaz A, Zhang H, Xu P, Liao Y, et al. Transcriptome and Proteome Profiling of Different Colored Rice Reveals Physiological Dynamics Involved in the Flavonoid Pathway. International Journal of Molecular Sciences. 2019; 20(10):2463. https://doi.org/10.3390/ijms20102463</t>
  </si>
  <si>
    <t>Gagne JM, Gish LA, Clark SE. The role of the acyl modification, palmitoylation, in Arabidopsis stem cell regulation. Plant Signal Behav. 2010 Aug;5(8):1048-51. doi: 10.4161/psb.5.8.12409. PMID: 21460611; PMCID: PMC3115195.
Li J, Zhang M, Zhou L. Protein S-acyltransferases and acyl protein thioesterases, regulation executors of protein S-acylation in plants. Front Plant Sci. 2022 Jul 27;13:956231. doi: 10.3389/fpls.2022.956231. PMID: 35968095; PMCID: PMC9363829.</t>
  </si>
  <si>
    <t>Thint.S07G456600 (PAC:55835233)</t>
  </si>
  <si>
    <t>SH3 type barrels, ribosomal protein L24</t>
  </si>
  <si>
    <t>PREDICTED: Triticum aestivum 50S ribosomal protein L24, chloroplastic (LOC123164951), mRNA</t>
  </si>
  <si>
    <t>Triticum aestivum</t>
  </si>
  <si>
    <t>translation</t>
  </si>
  <si>
    <t>meanPVE</t>
  </si>
  <si>
    <t>generally involved in protein-protein interactions to regulate plant defense responses through interactions with distinct proteins. Inculding regulating salicylic acid-induced PR gene expression and pathogen resistance. YrU1, a stripe rust resistance gene from the diploid wheat Triticum urartu, encodes a coiled-coil-NBS-leucine-rich repeat protein with N-terminal ankyrin-repeat and C-terminal WRKY domains; NPR1 is a ankyrin repeat-containing protein which is involved in the regulation of systematic resistance. Transgenic wheat with Arabidopsis NPR1 showed heighted FHB resistance</t>
  </si>
  <si>
    <t>Yang Y, Zhang Y, Ding P, Johnson K, Li X, Zhang Y. The ankyrin-repeat transmembrane protein BDA1 functions downstream of the receptor-like protein SNC2 to regulate plant immunity. Plant Physiol. 2012 Aug;159(4):1857-65. doi: 10.1104/pp.112.197152. Epub 2012 Jun 27. PMID: 22740615; PMCID: PMC3425218.
Makandar R., Essig J. S., Schapaugh M. A., Trick H. N., Shah J. (2006). Genetically engineered resistance to fusarium head blight in wheat by expression of arabidopsis NPR1. Mol. Plant Microbe Interact. 19, 123–129. doi:  10.1094/MPMI-19-0123</t>
  </si>
  <si>
    <t>Nepenthesins are aspartic proteases (APs) mostly known from the pitcher fluid of the carnivorous plant Nepenthes but are also widely distributed within the plant kingdom and play significant roles in other plant species. Biological roles include hydrolyzing insect protein and availing the nitrogen for assimilation by the plant, reduces the activity of fungal phytases, enzymes that dephosphorylate the phytic acid substrate, suppresses biomass accumulation and 15-acetyldeoxynivalenol (15ADON) mycotoxin production from different strains of Fusarium graminearum, represses the expression of trichothecene (TRI) biosynthesis and regulatory genes in F. graminearum. Xylanase inhibitor N-terminal and C-terminal domains form a lobe and create the catalytic pocket of napenthesin A1 protease domain; Xylanases are secreted by Fusarium to degrade cell walls and cause cell death. Xylanase inhibitors such as TAXI-III and XIP-I are reported to prevent host cell death caused by F. graminearum.</t>
  </si>
  <si>
    <t>Bekalu ZE, Dionisio G, Brinch-Pedersen AH. Molecular Properties and New Potentials of Plant Nepenthesins. Plants (Basel). 2020 Apr 29;9(5):570. doi: 10.3390/plants9050570. PMID: 32365700; PMCID: PMC7284499.
Tundo S, Moscetti I, Faoro F, Lafond M, Giardina T, Favaron F, Sella L, D'Ovidio R. Fusarium graminearum produces different xylanases causing host cell death that is prevented by the xylanase inhibitors XIP-I and TAXI-III in wheat. Plant Sci. 2015 Nov;240:161-9. doi: 10.1016/j.plantsci.2015.09.002. Epub 2015 Sep 7. PMID: 26475196.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</si>
</sst>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0"/>
      <color theme="1"/>
      <name val="Arial"/>
      <family val="2"/>
    </font>
    <font>
      <sz val="10"/>
      <color rgb="FF212121"/>
      <name val="Arial"/>
      <family val="2"/>
    </font>
    <font>
      <sz val="10"/>
      <color rgb="FF000000"/>
      <name val="Arial"/>
      <family val="2"/>
    </font>
    <font>
      <sz val="10"/>
      <color rgb="FF333333"/>
      <name val="Arial"/>
      <family val="2"/>
    </font>
    <font>
      <sz val="10"/>
      <color rgb="FF2A2A2A"/>
      <name val="Arial"/>
      <family val="2"/>
    </font>
    <font>
      <sz val="10"/>
      <color rgb="FF1C1D1E"/>
      <name val="Arial"/>
      <family val="2"/>
    </font>
    <font>
      <sz val="10"/>
      <color rgb="FF1F1F1F"/>
      <name val="Arial"/>
      <family val="2"/>
    </font>
    <font>
      <sz val="10"/>
      <color rgb="FF202020"/>
      <name val="Arial"/>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AD2E9"/>
        <bgColor indexed="64"/>
      </patternFill>
    </fill>
    <fill>
      <patternFill patternType="solid">
        <fgColor rgb="FFEBD1DC"/>
        <bgColor indexed="64"/>
      </patternFill>
    </fill>
    <fill>
      <patternFill patternType="solid">
        <fgColor rgb="FFEFEFE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9" fontId="0" fillId="0" borderId="0" xfId="0" applyNumberFormat="1"/>
    <xf numFmtId="10" fontId="0" fillId="0" borderId="0" xfId="0" applyNumberFormat="1"/>
    <xf numFmtId="0" fontId="18" fillId="0" borderId="0" xfId="0" applyFont="1"/>
    <xf numFmtId="9" fontId="18" fillId="0" borderId="0" xfId="0" applyNumberFormat="1" applyFont="1"/>
    <xf numFmtId="10" fontId="18" fillId="0" borderId="0" xfId="0" applyNumberFormat="1" applyFont="1"/>
    <xf numFmtId="0" fontId="18" fillId="0" borderId="0" xfId="0" applyFont="1" applyAlignment="1">
      <alignment vertical="top" wrapText="1"/>
    </xf>
    <xf numFmtId="0" fontId="19" fillId="33" borderId="0" xfId="0" applyFont="1" applyFill="1" applyAlignment="1">
      <alignment vertical="top" wrapText="1"/>
    </xf>
    <xf numFmtId="0" fontId="18" fillId="34" borderId="0" xfId="0" applyFont="1" applyFill="1" applyAlignment="1">
      <alignment vertical="top" wrapText="1"/>
    </xf>
    <xf numFmtId="0" fontId="0" fillId="0" borderId="0" xfId="0" applyAlignment="1">
      <alignment vertical="top" wrapText="1"/>
    </xf>
    <xf numFmtId="0" fontId="18" fillId="35" borderId="0" xfId="0" applyFont="1" applyFill="1" applyAlignment="1">
      <alignment vertical="top" wrapText="1"/>
    </xf>
    <xf numFmtId="0" fontId="18" fillId="33" borderId="0" xfId="0" applyFont="1" applyFill="1" applyAlignment="1">
      <alignment vertical="top" wrapText="1"/>
    </xf>
    <xf numFmtId="0" fontId="19" fillId="35" borderId="0" xfId="0" applyFont="1" applyFill="1" applyAlignment="1">
      <alignment vertical="top" wrapText="1"/>
    </xf>
    <xf numFmtId="0" fontId="20" fillId="33" borderId="0" xfId="0" applyFont="1" applyFill="1" applyAlignment="1">
      <alignment vertical="top" wrapText="1"/>
    </xf>
    <xf numFmtId="0" fontId="21" fillId="34" borderId="0" xfId="0" applyFont="1" applyFill="1" applyAlignment="1">
      <alignment vertical="top" wrapText="1"/>
    </xf>
    <xf numFmtId="0" fontId="22" fillId="34" borderId="0" xfId="0" applyFont="1" applyFill="1" applyAlignment="1">
      <alignment vertical="top" wrapText="1"/>
    </xf>
    <xf numFmtId="0" fontId="23" fillId="34" borderId="0" xfId="0" applyFont="1" applyFill="1" applyAlignment="1">
      <alignment vertical="top" wrapText="1"/>
    </xf>
    <xf numFmtId="0" fontId="24" fillId="33" borderId="0" xfId="0" applyFont="1" applyFill="1" applyAlignment="1">
      <alignment vertical="top" wrapText="1"/>
    </xf>
    <xf numFmtId="0" fontId="25" fillId="35" borderId="0" xfId="0" applyFont="1" applyFill="1" applyAlignment="1">
      <alignment vertical="top" wrapText="1"/>
    </xf>
    <xf numFmtId="0" fontId="24" fillId="35" borderId="0" xfId="0" applyFont="1" applyFill="1" applyAlignment="1">
      <alignment vertical="top" wrapText="1"/>
    </xf>
    <xf numFmtId="0" fontId="18" fillId="0" borderId="0" xfId="0" quotePrefix="1" applyFont="1"/>
    <xf numFmtId="0" fontId="20" fillId="0" borderId="0" xfId="0" applyFont="1" applyAlignment="1">
      <alignmen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EBD1DC"/>
      <color rgb="FFEFEFEF"/>
      <color rgb="FFDAD2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ABEC3-34C0-8D4B-B29A-C3040291A0BD}">
  <dimension ref="A1:AX257"/>
  <sheetViews>
    <sheetView tabSelected="1" workbookViewId="0">
      <pane xSplit="1" ySplit="1" topLeftCell="I13" activePane="bottomRight" state="frozen"/>
      <selection pane="topRight" activeCell="B1" sqref="B1"/>
      <selection pane="bottomLeft" activeCell="A2" sqref="A2"/>
      <selection pane="bottomRight" activeCell="A17" sqref="A17"/>
    </sheetView>
  </sheetViews>
  <sheetFormatPr baseColWidth="10" defaultRowHeight="16" x14ac:dyDescent="0.2"/>
  <cols>
    <col min="1" max="1" width="16.5" customWidth="1"/>
    <col min="2" max="2" width="5.1640625" customWidth="1"/>
    <col min="3" max="3" width="11.6640625" bestFit="1" customWidth="1"/>
    <col min="4" max="7" width="10.83203125" customWidth="1"/>
    <col min="8" max="8" width="12.33203125" customWidth="1"/>
    <col min="9" max="9" width="15" customWidth="1"/>
    <col min="11" max="42" width="11" bestFit="1" customWidth="1"/>
    <col min="47" max="48" width="11" bestFit="1" customWidth="1"/>
    <col min="49" max="50" width="71.6640625" style="9" customWidth="1"/>
  </cols>
  <sheetData>
    <row r="1" spans="1:50"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621</v>
      </c>
      <c r="AR1" s="3" t="s">
        <v>622</v>
      </c>
      <c r="AS1" s="3" t="s">
        <v>623</v>
      </c>
      <c r="AT1" s="3" t="s">
        <v>624</v>
      </c>
      <c r="AU1" s="3" t="s">
        <v>625</v>
      </c>
      <c r="AV1" s="3" t="s">
        <v>626</v>
      </c>
      <c r="AW1" s="6" t="s">
        <v>627</v>
      </c>
      <c r="AX1" s="6" t="s">
        <v>628</v>
      </c>
    </row>
    <row r="2" spans="1:50" x14ac:dyDescent="0.2">
      <c r="A2" s="3" t="s">
        <v>407</v>
      </c>
      <c r="B2" s="3" t="s">
        <v>120</v>
      </c>
      <c r="C2" s="3">
        <v>389593959</v>
      </c>
      <c r="D2" s="3" t="s">
        <v>85</v>
      </c>
      <c r="E2" s="3" t="s">
        <v>53</v>
      </c>
      <c r="F2" s="3" t="s">
        <v>45</v>
      </c>
      <c r="G2" s="3" t="s">
        <v>45</v>
      </c>
      <c r="H2" s="3" t="s">
        <v>408</v>
      </c>
      <c r="I2" s="3" t="s">
        <v>369</v>
      </c>
      <c r="J2" s="20" t="s">
        <v>409</v>
      </c>
      <c r="K2" s="3">
        <v>0.144951140065147</v>
      </c>
      <c r="L2" s="3">
        <v>307</v>
      </c>
      <c r="M2" s="3">
        <v>-4.9286365043898099</v>
      </c>
      <c r="N2" s="3">
        <v>6.7979149344071501E-3</v>
      </c>
      <c r="O2" s="3">
        <v>0</v>
      </c>
      <c r="P2" s="3">
        <v>0</v>
      </c>
      <c r="Q2" s="3">
        <v>0</v>
      </c>
      <c r="R2" s="3">
        <v>285</v>
      </c>
      <c r="S2" s="3">
        <v>0</v>
      </c>
      <c r="T2" s="3">
        <v>7</v>
      </c>
      <c r="U2" s="3">
        <v>0</v>
      </c>
      <c r="V2" s="3">
        <v>0</v>
      </c>
      <c r="W2" s="3">
        <v>0</v>
      </c>
      <c r="X2" s="3">
        <v>0</v>
      </c>
      <c r="Y2" s="3">
        <v>72</v>
      </c>
      <c r="Z2" s="3">
        <v>0</v>
      </c>
      <c r="AA2" s="3">
        <v>1.9230769230769201E-2</v>
      </c>
      <c r="AB2" s="3">
        <v>0</v>
      </c>
      <c r="AC2" s="3">
        <v>0</v>
      </c>
      <c r="AD2" s="3">
        <v>0.78296703296703296</v>
      </c>
      <c r="AE2" s="3">
        <v>0</v>
      </c>
      <c r="AF2" s="3">
        <v>0</v>
      </c>
      <c r="AG2" s="3">
        <v>0</v>
      </c>
      <c r="AH2" s="3">
        <v>0.19780219780219799</v>
      </c>
      <c r="AI2" s="3">
        <v>0</v>
      </c>
      <c r="AJ2" s="3">
        <v>0.88186813186813195</v>
      </c>
      <c r="AK2" s="3">
        <v>0</v>
      </c>
      <c r="AL2" s="3">
        <v>0</v>
      </c>
      <c r="AM2" s="3">
        <v>0.118131868131868</v>
      </c>
      <c r="AN2" s="3">
        <v>15</v>
      </c>
      <c r="AO2" s="3">
        <v>14.714285714285699</v>
      </c>
      <c r="AP2" s="3">
        <v>14.236286919831199</v>
      </c>
      <c r="AQ2" s="3"/>
      <c r="AR2" s="3"/>
      <c r="AS2" s="3"/>
      <c r="AT2" s="3"/>
      <c r="AU2" s="3"/>
      <c r="AV2" s="3"/>
      <c r="AW2" s="6"/>
      <c r="AX2" s="6"/>
    </row>
    <row r="3" spans="1:50" x14ac:dyDescent="0.2">
      <c r="A3" s="3" t="s">
        <v>410</v>
      </c>
      <c r="B3" s="3" t="s">
        <v>66</v>
      </c>
      <c r="C3" s="3">
        <v>283559355</v>
      </c>
      <c r="D3" s="3" t="s">
        <v>71</v>
      </c>
      <c r="E3" s="3" t="s">
        <v>45</v>
      </c>
      <c r="F3" s="3" t="s">
        <v>59</v>
      </c>
      <c r="G3" s="3" t="s">
        <v>59</v>
      </c>
      <c r="H3" s="3" t="s">
        <v>408</v>
      </c>
      <c r="I3" s="3" t="s">
        <v>369</v>
      </c>
      <c r="J3" s="20" t="s">
        <v>411</v>
      </c>
      <c r="K3" s="3">
        <v>8.1433224755700397E-3</v>
      </c>
      <c r="L3" s="3">
        <v>307</v>
      </c>
      <c r="M3" s="3">
        <v>-22.128868965299901</v>
      </c>
      <c r="N3" s="20" t="s">
        <v>412</v>
      </c>
      <c r="O3" s="3" t="s">
        <v>55</v>
      </c>
      <c r="P3" s="3">
        <v>0</v>
      </c>
      <c r="Q3" s="3">
        <v>0</v>
      </c>
      <c r="R3" s="3">
        <v>0</v>
      </c>
      <c r="S3" s="3">
        <v>0</v>
      </c>
      <c r="T3" s="3">
        <v>207</v>
      </c>
      <c r="U3" s="3">
        <v>27</v>
      </c>
      <c r="V3" s="3">
        <v>0</v>
      </c>
      <c r="W3" s="3">
        <v>130</v>
      </c>
      <c r="X3" s="3">
        <v>0</v>
      </c>
      <c r="Y3" s="3">
        <v>0</v>
      </c>
      <c r="Z3" s="3">
        <v>0.35714285714285698</v>
      </c>
      <c r="AA3" s="3">
        <v>0.56868131868131899</v>
      </c>
      <c r="AB3" s="3">
        <v>7.4175824175824204E-2</v>
      </c>
      <c r="AC3" s="3">
        <v>0</v>
      </c>
      <c r="AD3" s="3">
        <v>0</v>
      </c>
      <c r="AE3" s="3">
        <v>0</v>
      </c>
      <c r="AF3" s="3">
        <v>0</v>
      </c>
      <c r="AG3" s="3">
        <v>0</v>
      </c>
      <c r="AH3" s="3">
        <v>0</v>
      </c>
      <c r="AI3" s="3">
        <v>0</v>
      </c>
      <c r="AJ3" s="3">
        <v>0</v>
      </c>
      <c r="AK3" s="3">
        <v>0.25274725274725302</v>
      </c>
      <c r="AL3" s="3">
        <v>0</v>
      </c>
      <c r="AM3" s="3">
        <v>0.74725274725274704</v>
      </c>
      <c r="AN3" s="3">
        <v>8.0434782608695592</v>
      </c>
      <c r="AO3" s="3">
        <v>15.681818181818199</v>
      </c>
      <c r="AP3" s="3">
        <v>14.3448275862069</v>
      </c>
      <c r="AQ3" s="3"/>
      <c r="AR3" s="3"/>
      <c r="AS3" s="3"/>
      <c r="AT3" s="3"/>
      <c r="AU3" s="3"/>
      <c r="AV3" s="3"/>
      <c r="AW3" s="6"/>
      <c r="AX3" s="6"/>
    </row>
    <row r="4" spans="1:50" x14ac:dyDescent="0.2">
      <c r="A4" s="3" t="s">
        <v>413</v>
      </c>
      <c r="B4" s="3" t="s">
        <v>169</v>
      </c>
      <c r="C4" s="3">
        <v>142550878</v>
      </c>
      <c r="D4" s="3" t="s">
        <v>52</v>
      </c>
      <c r="E4" s="3" t="s">
        <v>46</v>
      </c>
      <c r="F4" s="3" t="s">
        <v>53</v>
      </c>
      <c r="G4" s="3" t="s">
        <v>53</v>
      </c>
      <c r="H4" s="3" t="s">
        <v>408</v>
      </c>
      <c r="I4" s="3" t="s">
        <v>369</v>
      </c>
      <c r="J4" s="20" t="s">
        <v>414</v>
      </c>
      <c r="K4" s="3">
        <v>0.47231270358306199</v>
      </c>
      <c r="L4" s="3">
        <v>307</v>
      </c>
      <c r="M4" s="3">
        <v>9.0500075852362993</v>
      </c>
      <c r="N4" s="3">
        <v>2.05144095966356E-4</v>
      </c>
      <c r="O4" s="3">
        <v>0</v>
      </c>
      <c r="P4" s="3">
        <v>338</v>
      </c>
      <c r="Q4" s="3">
        <v>23</v>
      </c>
      <c r="R4" s="3">
        <v>3</v>
      </c>
      <c r="S4" s="3">
        <v>0</v>
      </c>
      <c r="T4" s="3">
        <v>0</v>
      </c>
      <c r="U4" s="3">
        <v>0</v>
      </c>
      <c r="V4" s="3">
        <v>0</v>
      </c>
      <c r="W4" s="3">
        <v>0</v>
      </c>
      <c r="X4" s="3">
        <v>0</v>
      </c>
      <c r="Y4" s="3">
        <v>0</v>
      </c>
      <c r="Z4" s="3">
        <v>0</v>
      </c>
      <c r="AA4" s="3">
        <v>0</v>
      </c>
      <c r="AB4" s="3">
        <v>0</v>
      </c>
      <c r="AC4" s="3">
        <v>0</v>
      </c>
      <c r="AD4" s="3">
        <v>8.2417582417582402E-3</v>
      </c>
      <c r="AE4" s="3">
        <v>6.3186813186813198E-2</v>
      </c>
      <c r="AF4" s="3">
        <v>0.92857142857142905</v>
      </c>
      <c r="AG4" s="3">
        <v>0</v>
      </c>
      <c r="AH4" s="3">
        <v>0</v>
      </c>
      <c r="AI4" s="3">
        <v>0</v>
      </c>
      <c r="AJ4" s="3">
        <v>3.9835164835164798E-2</v>
      </c>
      <c r="AK4" s="3">
        <v>0</v>
      </c>
      <c r="AL4" s="3">
        <v>0.96016483516483497</v>
      </c>
      <c r="AM4" s="3">
        <v>0</v>
      </c>
      <c r="AN4" s="3">
        <v>3.5</v>
      </c>
      <c r="AO4" s="3">
        <v>16.149999999999999</v>
      </c>
      <c r="AP4" s="3">
        <v>14.3017543859649</v>
      </c>
      <c r="AQ4" s="3"/>
      <c r="AR4" s="3"/>
      <c r="AS4" s="3"/>
      <c r="AT4" s="3"/>
      <c r="AU4" s="3"/>
      <c r="AV4" s="3"/>
      <c r="AW4" s="6"/>
      <c r="AX4" s="6"/>
    </row>
    <row r="5" spans="1:50" x14ac:dyDescent="0.2">
      <c r="A5" s="3" t="s">
        <v>601</v>
      </c>
      <c r="B5" s="3" t="s">
        <v>152</v>
      </c>
      <c r="C5" s="3">
        <v>676779696</v>
      </c>
      <c r="D5" s="3" t="s">
        <v>260</v>
      </c>
      <c r="E5" s="3" t="s">
        <v>53</v>
      </c>
      <c r="F5" s="3" t="s">
        <v>59</v>
      </c>
      <c r="G5" s="3" t="s">
        <v>59</v>
      </c>
      <c r="H5" s="3" t="s">
        <v>408</v>
      </c>
      <c r="I5" s="3" t="s">
        <v>519</v>
      </c>
      <c r="J5" s="20" t="s">
        <v>602</v>
      </c>
      <c r="K5" s="3">
        <v>1.5337423312883299E-3</v>
      </c>
      <c r="L5" s="3">
        <v>326</v>
      </c>
      <c r="M5" s="3">
        <v>-52.3528922495261</v>
      </c>
      <c r="N5" s="3">
        <v>3.3378039398926899E-4</v>
      </c>
      <c r="O5" s="3">
        <v>0</v>
      </c>
      <c r="P5" s="3">
        <v>0</v>
      </c>
      <c r="Q5" s="3">
        <v>0</v>
      </c>
      <c r="R5" s="3">
        <v>335</v>
      </c>
      <c r="S5" s="3">
        <v>0</v>
      </c>
      <c r="T5" s="3">
        <v>0</v>
      </c>
      <c r="U5" s="3">
        <v>0</v>
      </c>
      <c r="V5" s="3">
        <v>0</v>
      </c>
      <c r="W5" s="3">
        <v>0</v>
      </c>
      <c r="X5" s="3">
        <v>22</v>
      </c>
      <c r="Y5" s="3">
        <v>0</v>
      </c>
      <c r="Z5" s="3">
        <v>0</v>
      </c>
      <c r="AA5" s="3">
        <v>0</v>
      </c>
      <c r="AB5" s="3">
        <v>0</v>
      </c>
      <c r="AC5" s="3">
        <v>6.1624649859944002E-2</v>
      </c>
      <c r="AD5" s="3">
        <v>0.93837535014005602</v>
      </c>
      <c r="AE5" s="3">
        <v>0</v>
      </c>
      <c r="AF5" s="3">
        <v>0</v>
      </c>
      <c r="AG5" s="3">
        <v>0</v>
      </c>
      <c r="AH5" s="3">
        <v>0</v>
      </c>
      <c r="AI5" s="3">
        <v>0</v>
      </c>
      <c r="AJ5" s="3">
        <v>0.96918767507002801</v>
      </c>
      <c r="AK5" s="3">
        <v>3.0812324929972001E-2</v>
      </c>
      <c r="AL5" s="3">
        <v>0</v>
      </c>
      <c r="AM5" s="3">
        <v>0</v>
      </c>
      <c r="AN5" s="3" t="s">
        <v>55</v>
      </c>
      <c r="AO5" s="3">
        <v>8.75</v>
      </c>
      <c r="AP5" s="3">
        <v>11.516339869281</v>
      </c>
      <c r="AQ5" s="3"/>
      <c r="AR5" s="3"/>
      <c r="AS5" s="3"/>
      <c r="AT5" s="3"/>
      <c r="AU5" s="3"/>
      <c r="AV5" s="3"/>
      <c r="AW5" s="6"/>
      <c r="AX5" s="6"/>
    </row>
    <row r="6" spans="1:50" x14ac:dyDescent="0.2">
      <c r="A6" s="3" t="s">
        <v>603</v>
      </c>
      <c r="B6" s="3" t="s">
        <v>160</v>
      </c>
      <c r="C6" s="3">
        <v>373032805</v>
      </c>
      <c r="D6" s="3" t="s">
        <v>52</v>
      </c>
      <c r="E6" s="3" t="s">
        <v>46</v>
      </c>
      <c r="F6" s="3" t="s">
        <v>53</v>
      </c>
      <c r="G6" s="3" t="s">
        <v>53</v>
      </c>
      <c r="H6" s="3" t="s">
        <v>408</v>
      </c>
      <c r="I6" s="3" t="s">
        <v>519</v>
      </c>
      <c r="J6" s="20" t="s">
        <v>604</v>
      </c>
      <c r="K6" s="3">
        <v>1.3803680981595101E-2</v>
      </c>
      <c r="L6" s="3">
        <v>326</v>
      </c>
      <c r="M6" s="3">
        <v>-16.0782874261104</v>
      </c>
      <c r="N6" s="20" t="s">
        <v>605</v>
      </c>
      <c r="O6" s="3">
        <v>0.54991025095815305</v>
      </c>
      <c r="P6" s="3">
        <v>168</v>
      </c>
      <c r="Q6" s="3">
        <v>148</v>
      </c>
      <c r="R6" s="3">
        <v>41</v>
      </c>
      <c r="S6" s="3">
        <v>0</v>
      </c>
      <c r="T6" s="3">
        <v>0</v>
      </c>
      <c r="U6" s="3">
        <v>0</v>
      </c>
      <c r="V6" s="3">
        <v>0</v>
      </c>
      <c r="W6" s="3">
        <v>0</v>
      </c>
      <c r="X6" s="3">
        <v>0</v>
      </c>
      <c r="Y6" s="3">
        <v>0</v>
      </c>
      <c r="Z6" s="3">
        <v>0</v>
      </c>
      <c r="AA6" s="3">
        <v>0</v>
      </c>
      <c r="AB6" s="3">
        <v>0</v>
      </c>
      <c r="AC6" s="3">
        <v>0</v>
      </c>
      <c r="AD6" s="3">
        <v>0.11484593837535</v>
      </c>
      <c r="AE6" s="3">
        <v>0.41456582633053202</v>
      </c>
      <c r="AF6" s="3">
        <v>0.47058823529411797</v>
      </c>
      <c r="AG6" s="3">
        <v>0</v>
      </c>
      <c r="AH6" s="3">
        <v>0</v>
      </c>
      <c r="AI6" s="3">
        <v>0</v>
      </c>
      <c r="AJ6" s="3">
        <v>0.32212885154061599</v>
      </c>
      <c r="AK6" s="3">
        <v>0</v>
      </c>
      <c r="AL6" s="3">
        <v>0.67787114845938401</v>
      </c>
      <c r="AM6" s="3">
        <v>0</v>
      </c>
      <c r="AN6" s="3">
        <v>11</v>
      </c>
      <c r="AO6" s="3">
        <v>11.5401459854015</v>
      </c>
      <c r="AP6" s="3">
        <v>11.261744966443</v>
      </c>
      <c r="AQ6" s="3"/>
      <c r="AR6" s="3"/>
      <c r="AS6" s="3"/>
      <c r="AT6" s="3"/>
      <c r="AU6" s="3"/>
      <c r="AV6" s="3"/>
      <c r="AW6" s="6"/>
      <c r="AX6" s="6"/>
    </row>
    <row r="7" spans="1:50" ht="42" x14ac:dyDescent="0.2">
      <c r="A7" s="3" t="s">
        <v>606</v>
      </c>
      <c r="B7" s="3" t="s">
        <v>224</v>
      </c>
      <c r="C7" s="3">
        <v>457292509</v>
      </c>
      <c r="D7" s="3" t="s">
        <v>71</v>
      </c>
      <c r="E7" s="3" t="s">
        <v>45</v>
      </c>
      <c r="F7" s="3" t="s">
        <v>59</v>
      </c>
      <c r="G7" s="3" t="s">
        <v>59</v>
      </c>
      <c r="H7" s="3" t="s">
        <v>408</v>
      </c>
      <c r="I7" s="3" t="s">
        <v>519</v>
      </c>
      <c r="J7" s="20" t="s">
        <v>607</v>
      </c>
      <c r="K7" s="3">
        <v>0.36809815950920199</v>
      </c>
      <c r="L7" s="3">
        <v>326</v>
      </c>
      <c r="M7" s="3">
        <v>3.0258163766129198</v>
      </c>
      <c r="N7" s="3">
        <v>2.3147143098225802E-3</v>
      </c>
      <c r="O7" s="3">
        <v>0</v>
      </c>
      <c r="P7" s="3">
        <v>0</v>
      </c>
      <c r="Q7" s="3">
        <v>0</v>
      </c>
      <c r="R7" s="3">
        <v>0</v>
      </c>
      <c r="S7" s="3">
        <v>0</v>
      </c>
      <c r="T7" s="3">
        <v>149</v>
      </c>
      <c r="U7" s="3">
        <v>0</v>
      </c>
      <c r="V7" s="3">
        <v>0</v>
      </c>
      <c r="W7" s="3">
        <v>208</v>
      </c>
      <c r="X7" s="3">
        <v>0</v>
      </c>
      <c r="Y7" s="3">
        <v>0</v>
      </c>
      <c r="Z7" s="3">
        <v>0.582633053221289</v>
      </c>
      <c r="AA7" s="3">
        <v>0.417366946778712</v>
      </c>
      <c r="AB7" s="3">
        <v>0</v>
      </c>
      <c r="AC7" s="3">
        <v>0</v>
      </c>
      <c r="AD7" s="3">
        <v>0</v>
      </c>
      <c r="AE7" s="3">
        <v>0</v>
      </c>
      <c r="AF7" s="3">
        <v>0</v>
      </c>
      <c r="AG7" s="3">
        <v>0</v>
      </c>
      <c r="AH7" s="3">
        <v>0</v>
      </c>
      <c r="AI7" s="3">
        <v>0</v>
      </c>
      <c r="AJ7" s="3">
        <v>0</v>
      </c>
      <c r="AK7" s="3">
        <v>0.291316526610644</v>
      </c>
      <c r="AL7" s="3">
        <v>0</v>
      </c>
      <c r="AM7" s="3">
        <v>0.708683473389356</v>
      </c>
      <c r="AN7" s="3" t="s">
        <v>55</v>
      </c>
      <c r="AO7" s="3">
        <v>11.9153439153439</v>
      </c>
      <c r="AP7" s="3">
        <v>10.562043795620401</v>
      </c>
      <c r="AQ7" s="3" t="s">
        <v>629</v>
      </c>
      <c r="AR7" s="3" t="s">
        <v>630</v>
      </c>
      <c r="AS7" s="3" t="s">
        <v>913</v>
      </c>
      <c r="AT7" s="3"/>
      <c r="AU7" s="3"/>
      <c r="AV7" s="3"/>
      <c r="AW7" s="7" t="s">
        <v>631</v>
      </c>
      <c r="AX7" s="6" t="s">
        <v>632</v>
      </c>
    </row>
    <row r="8" spans="1:50" ht="56" x14ac:dyDescent="0.2">
      <c r="A8" s="3" t="s">
        <v>594</v>
      </c>
      <c r="B8" s="3" t="s">
        <v>70</v>
      </c>
      <c r="C8" s="3">
        <v>67144799</v>
      </c>
      <c r="D8" s="3" t="s">
        <v>58</v>
      </c>
      <c r="E8" s="3" t="s">
        <v>59</v>
      </c>
      <c r="F8" s="3" t="s">
        <v>46</v>
      </c>
      <c r="G8" s="3" t="s">
        <v>59</v>
      </c>
      <c r="H8" s="3" t="s">
        <v>408</v>
      </c>
      <c r="I8" s="3" t="s">
        <v>519</v>
      </c>
      <c r="J8" s="20" t="s">
        <v>608</v>
      </c>
      <c r="K8" s="3">
        <v>2.6073619631901801E-2</v>
      </c>
      <c r="L8" s="3">
        <v>326</v>
      </c>
      <c r="M8" s="3">
        <v>-10.259584876167899</v>
      </c>
      <c r="N8" s="20" t="s">
        <v>609</v>
      </c>
      <c r="O8" s="3">
        <v>0</v>
      </c>
      <c r="P8" s="3">
        <v>334</v>
      </c>
      <c r="Q8" s="3">
        <v>0</v>
      </c>
      <c r="R8" s="3">
        <v>0</v>
      </c>
      <c r="S8" s="3">
        <v>0</v>
      </c>
      <c r="T8" s="3">
        <v>0</v>
      </c>
      <c r="U8" s="3">
        <v>3</v>
      </c>
      <c r="V8" s="3">
        <v>20</v>
      </c>
      <c r="W8" s="3">
        <v>0</v>
      </c>
      <c r="X8" s="3">
        <v>0</v>
      </c>
      <c r="Y8" s="3">
        <v>0</v>
      </c>
      <c r="Z8" s="3">
        <v>0</v>
      </c>
      <c r="AA8" s="3">
        <v>0</v>
      </c>
      <c r="AB8" s="3">
        <v>8.4033613445378096E-3</v>
      </c>
      <c r="AC8" s="3">
        <v>0</v>
      </c>
      <c r="AD8" s="3">
        <v>0</v>
      </c>
      <c r="AE8" s="3">
        <v>0</v>
      </c>
      <c r="AF8" s="3">
        <v>0.93557422969187698</v>
      </c>
      <c r="AG8" s="3">
        <v>0</v>
      </c>
      <c r="AH8" s="3">
        <v>0</v>
      </c>
      <c r="AI8" s="3">
        <v>5.6022408963585402E-2</v>
      </c>
      <c r="AJ8" s="3">
        <v>0</v>
      </c>
      <c r="AK8" s="3">
        <v>3.64145658263305E-2</v>
      </c>
      <c r="AL8" s="3">
        <v>0.96358543417367004</v>
      </c>
      <c r="AM8" s="3">
        <v>0</v>
      </c>
      <c r="AN8" s="3">
        <v>3.5</v>
      </c>
      <c r="AO8" s="3">
        <v>10.8888888888889</v>
      </c>
      <c r="AP8" s="3">
        <v>11.4248366013072</v>
      </c>
      <c r="AQ8" s="3" t="s">
        <v>633</v>
      </c>
      <c r="AR8" s="3" t="s">
        <v>634</v>
      </c>
      <c r="AS8" s="3" t="s">
        <v>635</v>
      </c>
      <c r="AT8" s="3" t="s">
        <v>636</v>
      </c>
      <c r="AU8" s="4">
        <v>0.51</v>
      </c>
      <c r="AV8" s="5">
        <v>0.95189999999999997</v>
      </c>
      <c r="AW8" s="8" t="s">
        <v>637</v>
      </c>
      <c r="AX8" s="6" t="s">
        <v>638</v>
      </c>
    </row>
    <row r="9" spans="1:50" ht="56" x14ac:dyDescent="0.2">
      <c r="A9" s="3" t="s">
        <v>610</v>
      </c>
      <c r="B9" s="3" t="s">
        <v>113</v>
      </c>
      <c r="C9" s="3">
        <v>77346874</v>
      </c>
      <c r="D9" s="3" t="s">
        <v>52</v>
      </c>
      <c r="E9" s="3" t="s">
        <v>46</v>
      </c>
      <c r="F9" s="3" t="s">
        <v>53</v>
      </c>
      <c r="G9" s="3" t="s">
        <v>53</v>
      </c>
      <c r="H9" s="3" t="s">
        <v>408</v>
      </c>
      <c r="I9" s="3" t="s">
        <v>519</v>
      </c>
      <c r="J9" s="20" t="s">
        <v>611</v>
      </c>
      <c r="K9" s="3">
        <v>1.0736196319018501E-2</v>
      </c>
      <c r="L9" s="3">
        <v>326</v>
      </c>
      <c r="M9" s="3">
        <v>-18.945628012761201</v>
      </c>
      <c r="N9" s="3">
        <v>1.3748697880029801E-3</v>
      </c>
      <c r="O9" s="3">
        <v>0</v>
      </c>
      <c r="P9" s="3">
        <v>233</v>
      </c>
      <c r="Q9" s="3">
        <v>122</v>
      </c>
      <c r="R9" s="3">
        <v>2</v>
      </c>
      <c r="S9" s="3">
        <v>0</v>
      </c>
      <c r="T9" s="3">
        <v>0</v>
      </c>
      <c r="U9" s="3">
        <v>0</v>
      </c>
      <c r="V9" s="3">
        <v>0</v>
      </c>
      <c r="W9" s="3">
        <v>0</v>
      </c>
      <c r="X9" s="3">
        <v>0</v>
      </c>
      <c r="Y9" s="3">
        <v>0</v>
      </c>
      <c r="Z9" s="3">
        <v>0</v>
      </c>
      <c r="AA9" s="3">
        <v>0</v>
      </c>
      <c r="AB9" s="3">
        <v>0</v>
      </c>
      <c r="AC9" s="3">
        <v>0</v>
      </c>
      <c r="AD9" s="3">
        <v>5.60224089635854E-3</v>
      </c>
      <c r="AE9" s="3">
        <v>0.34173669467787099</v>
      </c>
      <c r="AF9" s="3">
        <v>0.65266106442576999</v>
      </c>
      <c r="AG9" s="3">
        <v>0</v>
      </c>
      <c r="AH9" s="3">
        <v>0</v>
      </c>
      <c r="AI9" s="3">
        <v>0</v>
      </c>
      <c r="AJ9" s="3">
        <v>0.17647058823529399</v>
      </c>
      <c r="AK9" s="3">
        <v>0</v>
      </c>
      <c r="AL9" s="3">
        <v>0.82352941176470595</v>
      </c>
      <c r="AM9" s="3">
        <v>0</v>
      </c>
      <c r="AN9" s="3">
        <v>12.5</v>
      </c>
      <c r="AO9" s="3">
        <v>12.747747747747701</v>
      </c>
      <c r="AP9" s="3">
        <v>10.6056338028169</v>
      </c>
      <c r="AQ9" s="3" t="s">
        <v>914</v>
      </c>
      <c r="AR9" s="3"/>
      <c r="AS9" s="3" t="s">
        <v>639</v>
      </c>
      <c r="AT9" s="3" t="s">
        <v>636</v>
      </c>
      <c r="AU9" s="4">
        <v>0.96</v>
      </c>
      <c r="AV9" s="5">
        <v>0.94330000000000003</v>
      </c>
      <c r="AW9" s="8" t="s">
        <v>640</v>
      </c>
      <c r="AX9" s="6" t="s">
        <v>641</v>
      </c>
    </row>
    <row r="10" spans="1:50" x14ac:dyDescent="0.2">
      <c r="A10" s="3" t="s">
        <v>251</v>
      </c>
      <c r="B10" s="3" t="s">
        <v>198</v>
      </c>
      <c r="C10" s="3">
        <v>543093563</v>
      </c>
      <c r="D10" s="3" t="s">
        <v>71</v>
      </c>
      <c r="E10" s="3" t="s">
        <v>45</v>
      </c>
      <c r="F10" s="3" t="s">
        <v>59</v>
      </c>
      <c r="G10" s="3" t="s">
        <v>59</v>
      </c>
      <c r="H10" s="3" t="s">
        <v>257</v>
      </c>
      <c r="I10" s="3" t="s">
        <v>181</v>
      </c>
      <c r="J10" s="20" t="s">
        <v>258</v>
      </c>
      <c r="K10" s="3">
        <v>3.53773584905659E-3</v>
      </c>
      <c r="L10" s="3">
        <v>424</v>
      </c>
      <c r="M10" s="3">
        <v>-1.7885558574337499</v>
      </c>
      <c r="N10" s="3">
        <v>2.0967853623371498E-2</v>
      </c>
      <c r="O10" s="3">
        <v>0</v>
      </c>
      <c r="P10" s="3">
        <v>0</v>
      </c>
      <c r="Q10" s="3">
        <v>0</v>
      </c>
      <c r="R10" s="3">
        <v>0</v>
      </c>
      <c r="S10" s="3">
        <v>0</v>
      </c>
      <c r="T10" s="3">
        <v>362</v>
      </c>
      <c r="U10" s="3">
        <v>7</v>
      </c>
      <c r="V10" s="3">
        <v>0</v>
      </c>
      <c r="W10" s="3">
        <v>60</v>
      </c>
      <c r="X10" s="3">
        <v>0</v>
      </c>
      <c r="Y10" s="3">
        <v>0</v>
      </c>
      <c r="Z10" s="3">
        <v>0.13986013986014001</v>
      </c>
      <c r="AA10" s="3">
        <v>0.843822843822844</v>
      </c>
      <c r="AB10" s="3">
        <v>1.6317016317016299E-2</v>
      </c>
      <c r="AC10" s="3">
        <v>0</v>
      </c>
      <c r="AD10" s="3">
        <v>0</v>
      </c>
      <c r="AE10" s="3">
        <v>0</v>
      </c>
      <c r="AF10" s="3">
        <v>0</v>
      </c>
      <c r="AG10" s="3">
        <v>0</v>
      </c>
      <c r="AH10" s="3">
        <v>0</v>
      </c>
      <c r="AI10" s="3">
        <v>0</v>
      </c>
      <c r="AJ10" s="3">
        <v>0</v>
      </c>
      <c r="AK10" s="3">
        <v>8.6247086247086296E-2</v>
      </c>
      <c r="AL10" s="3">
        <v>0</v>
      </c>
      <c r="AM10" s="3">
        <v>0.91375291375291401</v>
      </c>
      <c r="AN10" s="3">
        <v>0.42857142857142899</v>
      </c>
      <c r="AO10" s="3">
        <v>0.41864406779661001</v>
      </c>
      <c r="AP10" s="3">
        <v>0.50893854748603395</v>
      </c>
      <c r="AQ10" s="3" t="s">
        <v>642</v>
      </c>
      <c r="AR10" s="3" t="s">
        <v>643</v>
      </c>
      <c r="AS10" s="3" t="s">
        <v>644</v>
      </c>
      <c r="AT10" s="3" t="s">
        <v>636</v>
      </c>
      <c r="AU10" s="4">
        <v>1</v>
      </c>
      <c r="AV10" s="5">
        <v>0.94030000000000002</v>
      </c>
      <c r="AW10" s="6"/>
      <c r="AX10" s="6"/>
    </row>
    <row r="11" spans="1:50" x14ac:dyDescent="0.2">
      <c r="A11" s="3" t="s">
        <v>141</v>
      </c>
      <c r="B11" s="3" t="s">
        <v>120</v>
      </c>
      <c r="C11" s="3">
        <v>43784785</v>
      </c>
      <c r="D11" s="3" t="s">
        <v>67</v>
      </c>
      <c r="E11" s="3" t="s">
        <v>46</v>
      </c>
      <c r="F11" s="3" t="s">
        <v>53</v>
      </c>
      <c r="G11" s="3" t="s">
        <v>53</v>
      </c>
      <c r="H11" s="3" t="s">
        <v>142</v>
      </c>
      <c r="I11" s="3" t="s">
        <v>48</v>
      </c>
      <c r="J11" s="20" t="s">
        <v>143</v>
      </c>
      <c r="K11" s="3">
        <v>7.1428571428571201E-3</v>
      </c>
      <c r="L11" s="3">
        <v>350</v>
      </c>
      <c r="M11" s="3">
        <v>-7.6463618028314499</v>
      </c>
      <c r="N11" s="20" t="s">
        <v>144</v>
      </c>
      <c r="O11" s="3">
        <v>0</v>
      </c>
      <c r="P11" s="3">
        <v>164</v>
      </c>
      <c r="Q11" s="3">
        <v>193</v>
      </c>
      <c r="R11" s="3">
        <v>72</v>
      </c>
      <c r="S11" s="3">
        <v>0</v>
      </c>
      <c r="T11" s="3">
        <v>0</v>
      </c>
      <c r="U11" s="3">
        <v>0</v>
      </c>
      <c r="V11" s="3">
        <v>0</v>
      </c>
      <c r="W11" s="3">
        <v>0</v>
      </c>
      <c r="X11" s="3">
        <v>0</v>
      </c>
      <c r="Y11" s="3">
        <v>0</v>
      </c>
      <c r="Z11" s="3">
        <v>0</v>
      </c>
      <c r="AA11" s="3">
        <v>0</v>
      </c>
      <c r="AB11" s="3">
        <v>0</v>
      </c>
      <c r="AC11" s="3">
        <v>0</v>
      </c>
      <c r="AD11" s="3">
        <v>0.16783216783216801</v>
      </c>
      <c r="AE11" s="3">
        <v>0.44988344988345003</v>
      </c>
      <c r="AF11" s="3">
        <v>0.382284382284382</v>
      </c>
      <c r="AG11" s="3">
        <v>0</v>
      </c>
      <c r="AH11" s="3">
        <v>0</v>
      </c>
      <c r="AI11" s="3">
        <v>0</v>
      </c>
      <c r="AJ11" s="3">
        <v>0.39277389277389302</v>
      </c>
      <c r="AK11" s="3">
        <v>0</v>
      </c>
      <c r="AL11" s="3">
        <v>0.60722610722610704</v>
      </c>
      <c r="AM11" s="3">
        <v>0</v>
      </c>
      <c r="AN11" s="3">
        <v>2.24545454545455</v>
      </c>
      <c r="AO11" s="3">
        <v>3.40569620253165</v>
      </c>
      <c r="AP11" s="3">
        <v>2.1549999999999998</v>
      </c>
      <c r="AQ11" s="3"/>
      <c r="AR11" s="3"/>
      <c r="AS11" s="3"/>
      <c r="AT11" s="3"/>
      <c r="AU11" s="3"/>
      <c r="AV11" s="3"/>
      <c r="AW11" s="6"/>
      <c r="AX11" s="6"/>
    </row>
    <row r="12" spans="1:50" ht="182" x14ac:dyDescent="0.2">
      <c r="A12" s="3" t="s">
        <v>145</v>
      </c>
      <c r="B12" s="3" t="s">
        <v>66</v>
      </c>
      <c r="C12" s="3">
        <v>70589221</v>
      </c>
      <c r="D12" s="3" t="s">
        <v>67</v>
      </c>
      <c r="E12" s="3" t="s">
        <v>46</v>
      </c>
      <c r="F12" s="3" t="s">
        <v>53</v>
      </c>
      <c r="G12" s="3" t="s">
        <v>46</v>
      </c>
      <c r="H12" s="3" t="s">
        <v>142</v>
      </c>
      <c r="I12" s="3" t="s">
        <v>48</v>
      </c>
      <c r="J12" s="20" t="s">
        <v>146</v>
      </c>
      <c r="K12" s="3">
        <v>0.28857142857142898</v>
      </c>
      <c r="L12" s="3">
        <v>350</v>
      </c>
      <c r="M12" s="3">
        <v>1.1845521732633699</v>
      </c>
      <c r="N12" s="3">
        <v>7.9444319542724604E-4</v>
      </c>
      <c r="O12" s="3">
        <v>0</v>
      </c>
      <c r="P12" s="3">
        <v>74</v>
      </c>
      <c r="Q12" s="3">
        <v>179</v>
      </c>
      <c r="R12" s="3">
        <v>176</v>
      </c>
      <c r="S12" s="3">
        <v>0</v>
      </c>
      <c r="T12" s="3">
        <v>0</v>
      </c>
      <c r="U12" s="3">
        <v>0</v>
      </c>
      <c r="V12" s="3">
        <v>0</v>
      </c>
      <c r="W12" s="3">
        <v>0</v>
      </c>
      <c r="X12" s="3">
        <v>0</v>
      </c>
      <c r="Y12" s="3">
        <v>0</v>
      </c>
      <c r="Z12" s="3">
        <v>0</v>
      </c>
      <c r="AA12" s="3">
        <v>0</v>
      </c>
      <c r="AB12" s="3">
        <v>0</v>
      </c>
      <c r="AC12" s="3">
        <v>0</v>
      </c>
      <c r="AD12" s="3">
        <v>0.41025641025641002</v>
      </c>
      <c r="AE12" s="3">
        <v>0.417249417249417</v>
      </c>
      <c r="AF12" s="3">
        <v>0.17249417249417201</v>
      </c>
      <c r="AG12" s="3">
        <v>0</v>
      </c>
      <c r="AH12" s="3">
        <v>0</v>
      </c>
      <c r="AI12" s="3">
        <v>0</v>
      </c>
      <c r="AJ12" s="3">
        <v>0.61888111888111896</v>
      </c>
      <c r="AK12" s="3">
        <v>0</v>
      </c>
      <c r="AL12" s="3">
        <v>0.38111888111888098</v>
      </c>
      <c r="AM12" s="3">
        <v>0</v>
      </c>
      <c r="AN12" s="3">
        <v>3.6540983606557398</v>
      </c>
      <c r="AO12" s="3">
        <v>2.4666666666666699</v>
      </c>
      <c r="AP12" s="3">
        <v>2.6727941176470602</v>
      </c>
      <c r="AQ12" s="3" t="s">
        <v>645</v>
      </c>
      <c r="AR12" s="3" t="s">
        <v>646</v>
      </c>
      <c r="AS12" s="3" t="s">
        <v>913</v>
      </c>
      <c r="AT12" s="3"/>
      <c r="AU12" s="3"/>
      <c r="AV12" s="3"/>
      <c r="AW12" s="10" t="s">
        <v>647</v>
      </c>
      <c r="AX12" s="6" t="s">
        <v>915</v>
      </c>
    </row>
    <row r="13" spans="1:50" x14ac:dyDescent="0.2">
      <c r="A13" s="3" t="s">
        <v>147</v>
      </c>
      <c r="B13" s="3" t="s">
        <v>77</v>
      </c>
      <c r="C13" s="3">
        <v>394911464</v>
      </c>
      <c r="D13" s="3" t="s">
        <v>109</v>
      </c>
      <c r="E13" s="3" t="s">
        <v>45</v>
      </c>
      <c r="F13" s="3" t="s">
        <v>59</v>
      </c>
      <c r="G13" s="3" t="s">
        <v>45</v>
      </c>
      <c r="H13" s="3" t="s">
        <v>142</v>
      </c>
      <c r="I13" s="3" t="s">
        <v>48</v>
      </c>
      <c r="J13" s="20" t="s">
        <v>148</v>
      </c>
      <c r="K13" s="3">
        <v>0.06</v>
      </c>
      <c r="L13" s="3">
        <v>350</v>
      </c>
      <c r="M13" s="3">
        <v>-2.34522552601848</v>
      </c>
      <c r="N13" s="3">
        <v>7.9444319542724604E-4</v>
      </c>
      <c r="O13" s="3">
        <v>0</v>
      </c>
      <c r="P13" s="3">
        <v>0</v>
      </c>
      <c r="Q13" s="3">
        <v>0</v>
      </c>
      <c r="R13" s="3">
        <v>0</v>
      </c>
      <c r="S13" s="3">
        <v>0</v>
      </c>
      <c r="T13" s="3">
        <v>58</v>
      </c>
      <c r="U13" s="3">
        <v>241</v>
      </c>
      <c r="V13" s="3">
        <v>0</v>
      </c>
      <c r="W13" s="3">
        <v>130</v>
      </c>
      <c r="X13" s="3">
        <v>0</v>
      </c>
      <c r="Y13" s="3">
        <v>0</v>
      </c>
      <c r="Z13" s="3">
        <v>0.30303030303030298</v>
      </c>
      <c r="AA13" s="3">
        <v>0.13519813519813501</v>
      </c>
      <c r="AB13" s="3">
        <v>0.56177156177156196</v>
      </c>
      <c r="AC13" s="3">
        <v>0</v>
      </c>
      <c r="AD13" s="3">
        <v>0</v>
      </c>
      <c r="AE13" s="3">
        <v>0</v>
      </c>
      <c r="AF13" s="3">
        <v>0</v>
      </c>
      <c r="AG13" s="3">
        <v>0</v>
      </c>
      <c r="AH13" s="3">
        <v>0</v>
      </c>
      <c r="AI13" s="3">
        <v>0</v>
      </c>
      <c r="AJ13" s="3">
        <v>0</v>
      </c>
      <c r="AK13" s="3">
        <v>0.713286713286713</v>
      </c>
      <c r="AL13" s="3">
        <v>0</v>
      </c>
      <c r="AM13" s="3">
        <v>0.286713286713287</v>
      </c>
      <c r="AN13" s="3">
        <v>2.70576923076923</v>
      </c>
      <c r="AO13" s="3">
        <v>3.1915094339622598</v>
      </c>
      <c r="AP13" s="3">
        <v>2.5249999999999999</v>
      </c>
      <c r="AQ13" s="3"/>
      <c r="AR13" s="3"/>
      <c r="AS13" s="3"/>
      <c r="AT13" s="3"/>
      <c r="AU13" s="3"/>
      <c r="AV13" s="3"/>
      <c r="AW13" s="6"/>
      <c r="AX13" s="6"/>
    </row>
    <row r="14" spans="1:50" x14ac:dyDescent="0.2">
      <c r="A14" s="3" t="s">
        <v>149</v>
      </c>
      <c r="B14" s="3" t="s">
        <v>77</v>
      </c>
      <c r="C14" s="3">
        <v>590255485</v>
      </c>
      <c r="D14" s="3" t="s">
        <v>58</v>
      </c>
      <c r="E14" s="3" t="s">
        <v>46</v>
      </c>
      <c r="F14" s="3" t="s">
        <v>59</v>
      </c>
      <c r="G14" s="3" t="s">
        <v>59</v>
      </c>
      <c r="H14" s="3" t="s">
        <v>142</v>
      </c>
      <c r="I14" s="3" t="s">
        <v>48</v>
      </c>
      <c r="J14" s="20" t="s">
        <v>150</v>
      </c>
      <c r="K14" s="3">
        <v>2.8571428571428901E-3</v>
      </c>
      <c r="L14" s="3">
        <v>350</v>
      </c>
      <c r="M14" s="3">
        <v>-9.1118986122244205</v>
      </c>
      <c r="N14" s="3">
        <v>7.8294402947871392E-3</v>
      </c>
      <c r="O14" s="3">
        <v>0</v>
      </c>
      <c r="P14" s="3">
        <v>379</v>
      </c>
      <c r="Q14" s="3">
        <v>0</v>
      </c>
      <c r="R14" s="3">
        <v>0</v>
      </c>
      <c r="S14" s="3">
        <v>0</v>
      </c>
      <c r="T14" s="3">
        <v>0</v>
      </c>
      <c r="U14" s="3">
        <v>1</v>
      </c>
      <c r="V14" s="3">
        <v>49</v>
      </c>
      <c r="W14" s="3">
        <v>0</v>
      </c>
      <c r="X14" s="3">
        <v>0</v>
      </c>
      <c r="Y14" s="3">
        <v>0</v>
      </c>
      <c r="Z14" s="3">
        <v>0</v>
      </c>
      <c r="AA14" s="3">
        <v>0</v>
      </c>
      <c r="AB14" s="3">
        <v>2.3310023310023301E-3</v>
      </c>
      <c r="AC14" s="3">
        <v>0</v>
      </c>
      <c r="AD14" s="3">
        <v>0</v>
      </c>
      <c r="AE14" s="3">
        <v>0</v>
      </c>
      <c r="AF14" s="3">
        <v>0.88344988344988296</v>
      </c>
      <c r="AG14" s="3">
        <v>0</v>
      </c>
      <c r="AH14" s="3">
        <v>0</v>
      </c>
      <c r="AI14" s="3">
        <v>0.114219114219114</v>
      </c>
      <c r="AJ14" s="3">
        <v>0</v>
      </c>
      <c r="AK14" s="3">
        <v>5.9440559440559398E-2</v>
      </c>
      <c r="AL14" s="3">
        <v>0.94055944055943996</v>
      </c>
      <c r="AM14" s="3">
        <v>0</v>
      </c>
      <c r="AN14" s="3">
        <v>2.1</v>
      </c>
      <c r="AO14" s="3">
        <v>2.3199999999999998</v>
      </c>
      <c r="AP14" s="3">
        <v>2.80414012738854</v>
      </c>
      <c r="AQ14" s="3"/>
      <c r="AR14" s="3"/>
      <c r="AS14" s="3"/>
      <c r="AT14" s="3"/>
      <c r="AU14" s="3"/>
      <c r="AV14" s="3"/>
      <c r="AW14" s="6"/>
      <c r="AX14" s="6"/>
    </row>
    <row r="15" spans="1:50" x14ac:dyDescent="0.2">
      <c r="A15" s="3" t="s">
        <v>180</v>
      </c>
      <c r="B15" s="3" t="s">
        <v>43</v>
      </c>
      <c r="C15" s="3">
        <v>158429406</v>
      </c>
      <c r="D15" s="3" t="s">
        <v>109</v>
      </c>
      <c r="E15" s="3" t="s">
        <v>59</v>
      </c>
      <c r="F15" s="3" t="s">
        <v>45</v>
      </c>
      <c r="G15" s="3" t="s">
        <v>45</v>
      </c>
      <c r="H15" s="3" t="s">
        <v>142</v>
      </c>
      <c r="I15" s="3" t="s">
        <v>181</v>
      </c>
      <c r="J15" s="20" t="s">
        <v>182</v>
      </c>
      <c r="K15" s="3">
        <v>0.15130023640661899</v>
      </c>
      <c r="L15" s="3">
        <v>423</v>
      </c>
      <c r="M15" s="3">
        <v>0.13830455435491101</v>
      </c>
      <c r="N15" s="3">
        <v>1.73914386920402E-3</v>
      </c>
      <c r="O15" s="3">
        <v>0</v>
      </c>
      <c r="P15" s="3">
        <v>0</v>
      </c>
      <c r="Q15" s="3">
        <v>0</v>
      </c>
      <c r="R15" s="3">
        <v>0</v>
      </c>
      <c r="S15" s="3">
        <v>0</v>
      </c>
      <c r="T15" s="3">
        <v>10</v>
      </c>
      <c r="U15" s="3">
        <v>310</v>
      </c>
      <c r="V15" s="3">
        <v>0</v>
      </c>
      <c r="W15" s="3">
        <v>109</v>
      </c>
      <c r="X15" s="3">
        <v>0</v>
      </c>
      <c r="Y15" s="3">
        <v>0</v>
      </c>
      <c r="Z15" s="3">
        <v>0.25407925407925402</v>
      </c>
      <c r="AA15" s="3">
        <v>2.3310023310023301E-2</v>
      </c>
      <c r="AB15" s="3">
        <v>0.72261072261072301</v>
      </c>
      <c r="AC15" s="3">
        <v>0</v>
      </c>
      <c r="AD15" s="3">
        <v>0</v>
      </c>
      <c r="AE15" s="3">
        <v>0</v>
      </c>
      <c r="AF15" s="3">
        <v>0</v>
      </c>
      <c r="AG15" s="3">
        <v>0</v>
      </c>
      <c r="AH15" s="3">
        <v>0</v>
      </c>
      <c r="AI15" s="3">
        <v>0</v>
      </c>
      <c r="AJ15" s="3">
        <v>0</v>
      </c>
      <c r="AK15" s="3">
        <v>0.84965034965035002</v>
      </c>
      <c r="AL15" s="3">
        <v>0</v>
      </c>
      <c r="AM15" s="3">
        <v>0.15034965034965</v>
      </c>
      <c r="AN15" s="3">
        <v>0.22</v>
      </c>
      <c r="AO15" s="3">
        <v>0.27685185185185202</v>
      </c>
      <c r="AP15" s="3">
        <v>0.28032786885245897</v>
      </c>
      <c r="AQ15" s="3"/>
      <c r="AR15" s="3"/>
      <c r="AS15" s="3"/>
      <c r="AT15" s="3"/>
      <c r="AU15" s="3"/>
      <c r="AV15" s="3"/>
      <c r="AW15" s="6"/>
      <c r="AX15" s="6"/>
    </row>
    <row r="16" spans="1:50" x14ac:dyDescent="0.2">
      <c r="A16" s="3" t="s">
        <v>183</v>
      </c>
      <c r="B16" s="3" t="s">
        <v>138</v>
      </c>
      <c r="C16" s="3">
        <v>94758098</v>
      </c>
      <c r="D16" s="3" t="s">
        <v>52</v>
      </c>
      <c r="E16" s="3" t="s">
        <v>46</v>
      </c>
      <c r="F16" s="3" t="s">
        <v>53</v>
      </c>
      <c r="G16" s="3" t="s">
        <v>53</v>
      </c>
      <c r="H16" s="3" t="s">
        <v>142</v>
      </c>
      <c r="I16" s="3" t="s">
        <v>181</v>
      </c>
      <c r="J16" s="20" t="s">
        <v>184</v>
      </c>
      <c r="K16" s="3">
        <v>4.72813238770686E-3</v>
      </c>
      <c r="L16" s="3">
        <v>423</v>
      </c>
      <c r="M16" s="3">
        <v>-0.87711297790614595</v>
      </c>
      <c r="N16" s="3">
        <v>2.4868295885466902E-4</v>
      </c>
      <c r="O16" s="3">
        <v>0</v>
      </c>
      <c r="P16" s="3">
        <v>405</v>
      </c>
      <c r="Q16" s="3">
        <v>20</v>
      </c>
      <c r="R16" s="3">
        <v>4</v>
      </c>
      <c r="S16" s="3">
        <v>0</v>
      </c>
      <c r="T16" s="3">
        <v>0</v>
      </c>
      <c r="U16" s="3">
        <v>0</v>
      </c>
      <c r="V16" s="3">
        <v>0</v>
      </c>
      <c r="W16" s="3">
        <v>0</v>
      </c>
      <c r="X16" s="3">
        <v>0</v>
      </c>
      <c r="Y16" s="3">
        <v>0</v>
      </c>
      <c r="Z16" s="3">
        <v>0</v>
      </c>
      <c r="AA16" s="3">
        <v>0</v>
      </c>
      <c r="AB16" s="3">
        <v>0</v>
      </c>
      <c r="AC16" s="3">
        <v>0</v>
      </c>
      <c r="AD16" s="3">
        <v>9.3240093240093205E-3</v>
      </c>
      <c r="AE16" s="3">
        <v>4.6620046620046603E-2</v>
      </c>
      <c r="AF16" s="3">
        <v>0.94405594405594395</v>
      </c>
      <c r="AG16" s="3">
        <v>0</v>
      </c>
      <c r="AH16" s="3">
        <v>0</v>
      </c>
      <c r="AI16" s="3">
        <v>0</v>
      </c>
      <c r="AJ16" s="3">
        <v>3.2634032634032598E-2</v>
      </c>
      <c r="AK16" s="3">
        <v>0</v>
      </c>
      <c r="AL16" s="3">
        <v>0.96736596736596703</v>
      </c>
      <c r="AM16" s="3">
        <v>0</v>
      </c>
      <c r="AN16" s="3">
        <v>0.1</v>
      </c>
      <c r="AO16" s="3">
        <v>0.31</v>
      </c>
      <c r="AP16" s="3">
        <v>0.278195488721804</v>
      </c>
      <c r="AQ16" s="3"/>
      <c r="AR16" s="3"/>
      <c r="AS16" s="3"/>
      <c r="AT16" s="3"/>
      <c r="AU16" s="3"/>
      <c r="AV16" s="3"/>
      <c r="AW16" s="6"/>
      <c r="AX16" s="6"/>
    </row>
    <row r="17" spans="1:50" ht="140" x14ac:dyDescent="0.2">
      <c r="A17" s="3" t="s">
        <v>185</v>
      </c>
      <c r="B17" s="3" t="s">
        <v>160</v>
      </c>
      <c r="C17" s="3">
        <v>243368005</v>
      </c>
      <c r="D17" s="3" t="s">
        <v>52</v>
      </c>
      <c r="E17" s="3" t="s">
        <v>46</v>
      </c>
      <c r="F17" s="3" t="s">
        <v>53</v>
      </c>
      <c r="G17" s="3" t="s">
        <v>53</v>
      </c>
      <c r="H17" s="3" t="s">
        <v>142</v>
      </c>
      <c r="I17" s="3" t="s">
        <v>181</v>
      </c>
      <c r="J17" s="20" t="s">
        <v>186</v>
      </c>
      <c r="K17" s="3">
        <v>3.5460992907800901E-3</v>
      </c>
      <c r="L17" s="3">
        <v>423</v>
      </c>
      <c r="M17" s="3">
        <v>-1.0670808677932699</v>
      </c>
      <c r="N17" s="3">
        <v>2.4868295885466902E-4</v>
      </c>
      <c r="O17" s="3">
        <v>0</v>
      </c>
      <c r="P17" s="3">
        <v>302</v>
      </c>
      <c r="Q17" s="3">
        <v>113</v>
      </c>
      <c r="R17" s="3">
        <v>14</v>
      </c>
      <c r="S17" s="3">
        <v>0</v>
      </c>
      <c r="T17" s="3">
        <v>0</v>
      </c>
      <c r="U17" s="3">
        <v>0</v>
      </c>
      <c r="V17" s="3">
        <v>0</v>
      </c>
      <c r="W17" s="3">
        <v>0</v>
      </c>
      <c r="X17" s="3">
        <v>0</v>
      </c>
      <c r="Y17" s="3">
        <v>0</v>
      </c>
      <c r="Z17" s="3">
        <v>0</v>
      </c>
      <c r="AA17" s="3">
        <v>0</v>
      </c>
      <c r="AB17" s="3">
        <v>0</v>
      </c>
      <c r="AC17" s="3">
        <v>0</v>
      </c>
      <c r="AD17" s="3">
        <v>3.2634032634032598E-2</v>
      </c>
      <c r="AE17" s="3">
        <v>0.26340326340326298</v>
      </c>
      <c r="AF17" s="3">
        <v>0.703962703962704</v>
      </c>
      <c r="AG17" s="3">
        <v>0</v>
      </c>
      <c r="AH17" s="3">
        <v>0</v>
      </c>
      <c r="AI17" s="3">
        <v>0</v>
      </c>
      <c r="AJ17" s="3">
        <v>0.16433566433566399</v>
      </c>
      <c r="AK17" s="3">
        <v>0</v>
      </c>
      <c r="AL17" s="3">
        <v>0.83566433566433596</v>
      </c>
      <c r="AM17" s="3">
        <v>0</v>
      </c>
      <c r="AN17" s="3">
        <v>0.238461538461538</v>
      </c>
      <c r="AO17" s="3">
        <v>0.283035714285714</v>
      </c>
      <c r="AP17" s="3">
        <v>0.27785234899328898</v>
      </c>
      <c r="AQ17" s="3" t="s">
        <v>648</v>
      </c>
      <c r="AR17" s="3" t="s">
        <v>649</v>
      </c>
      <c r="AS17" s="3" t="s">
        <v>913</v>
      </c>
      <c r="AT17" s="3"/>
      <c r="AU17" s="3"/>
      <c r="AV17" s="3"/>
      <c r="AW17" s="11" t="s">
        <v>650</v>
      </c>
      <c r="AX17" s="6" t="s">
        <v>651</v>
      </c>
    </row>
    <row r="18" spans="1:50" x14ac:dyDescent="0.2">
      <c r="A18" s="3" t="s">
        <v>187</v>
      </c>
      <c r="B18" s="3" t="s">
        <v>160</v>
      </c>
      <c r="C18" s="3">
        <v>322704032</v>
      </c>
      <c r="D18" s="3" t="s">
        <v>71</v>
      </c>
      <c r="E18" s="3" t="s">
        <v>45</v>
      </c>
      <c r="F18" s="3" t="s">
        <v>59</v>
      </c>
      <c r="G18" s="3" t="s">
        <v>59</v>
      </c>
      <c r="H18" s="3" t="s">
        <v>142</v>
      </c>
      <c r="I18" s="3" t="s">
        <v>181</v>
      </c>
      <c r="J18" s="20" t="s">
        <v>188</v>
      </c>
      <c r="K18" s="3">
        <v>5.9101654846335202E-3</v>
      </c>
      <c r="L18" s="3">
        <v>423</v>
      </c>
      <c r="M18" s="3">
        <v>-0.775035684387124</v>
      </c>
      <c r="N18" s="3">
        <v>9.1501448145982396E-4</v>
      </c>
      <c r="O18" s="3" t="s">
        <v>55</v>
      </c>
      <c r="P18" s="3">
        <v>0</v>
      </c>
      <c r="Q18" s="3">
        <v>0</v>
      </c>
      <c r="R18" s="3">
        <v>0</v>
      </c>
      <c r="S18" s="3">
        <v>0</v>
      </c>
      <c r="T18" s="3">
        <v>369</v>
      </c>
      <c r="U18" s="3">
        <v>5</v>
      </c>
      <c r="V18" s="3">
        <v>0</v>
      </c>
      <c r="W18" s="3">
        <v>55</v>
      </c>
      <c r="X18" s="3">
        <v>0</v>
      </c>
      <c r="Y18" s="3">
        <v>0</v>
      </c>
      <c r="Z18" s="3">
        <v>0.128205128205128</v>
      </c>
      <c r="AA18" s="3">
        <v>0.86013986013985999</v>
      </c>
      <c r="AB18" s="3">
        <v>1.1655011655011699E-2</v>
      </c>
      <c r="AC18" s="3">
        <v>0</v>
      </c>
      <c r="AD18" s="3">
        <v>0</v>
      </c>
      <c r="AE18" s="3">
        <v>0</v>
      </c>
      <c r="AF18" s="3">
        <v>0</v>
      </c>
      <c r="AG18" s="3">
        <v>0</v>
      </c>
      <c r="AH18" s="3">
        <v>0</v>
      </c>
      <c r="AI18" s="3">
        <v>0</v>
      </c>
      <c r="AJ18" s="3">
        <v>0</v>
      </c>
      <c r="AK18" s="3">
        <v>7.5757575757575704E-2</v>
      </c>
      <c r="AL18" s="3">
        <v>0</v>
      </c>
      <c r="AM18" s="3">
        <v>0.92424242424242398</v>
      </c>
      <c r="AN18" s="3">
        <v>0.2</v>
      </c>
      <c r="AO18" s="3">
        <v>0.218867924528302</v>
      </c>
      <c r="AP18" s="3">
        <v>0.28767123287671198</v>
      </c>
      <c r="AQ18" s="3" t="s">
        <v>914</v>
      </c>
      <c r="AR18" s="3"/>
      <c r="AS18" s="3" t="s">
        <v>635</v>
      </c>
      <c r="AT18" s="3" t="s">
        <v>636</v>
      </c>
      <c r="AU18" s="4">
        <v>0.88</v>
      </c>
      <c r="AV18" s="5">
        <v>0.7853</v>
      </c>
      <c r="AW18" s="6"/>
      <c r="AX18" s="6"/>
    </row>
    <row r="19" spans="1:50" x14ac:dyDescent="0.2">
      <c r="A19" s="3" t="s">
        <v>189</v>
      </c>
      <c r="B19" s="3" t="s">
        <v>97</v>
      </c>
      <c r="C19" s="3">
        <v>358044988</v>
      </c>
      <c r="D19" s="3" t="s">
        <v>71</v>
      </c>
      <c r="E19" s="3" t="s">
        <v>45</v>
      </c>
      <c r="F19" s="3" t="s">
        <v>59</v>
      </c>
      <c r="G19" s="3" t="s">
        <v>59</v>
      </c>
      <c r="H19" s="3" t="s">
        <v>142</v>
      </c>
      <c r="I19" s="3" t="s">
        <v>181</v>
      </c>
      <c r="J19" s="20" t="s">
        <v>190</v>
      </c>
      <c r="K19" s="3">
        <v>0.122931442080378</v>
      </c>
      <c r="L19" s="3">
        <v>423</v>
      </c>
      <c r="M19" s="3">
        <v>0.16880918326776501</v>
      </c>
      <c r="N19" s="3">
        <v>3.3616318529107701E-3</v>
      </c>
      <c r="O19" s="20" t="s">
        <v>191</v>
      </c>
      <c r="P19" s="3">
        <v>0</v>
      </c>
      <c r="Q19" s="3">
        <v>0</v>
      </c>
      <c r="R19" s="3">
        <v>0</v>
      </c>
      <c r="S19" s="3">
        <v>0</v>
      </c>
      <c r="T19" s="3">
        <v>387</v>
      </c>
      <c r="U19" s="3">
        <v>3</v>
      </c>
      <c r="V19" s="3">
        <v>0</v>
      </c>
      <c r="W19" s="3">
        <v>39</v>
      </c>
      <c r="X19" s="3">
        <v>0</v>
      </c>
      <c r="Y19" s="3">
        <v>0</v>
      </c>
      <c r="Z19" s="3">
        <v>9.0909090909090898E-2</v>
      </c>
      <c r="AA19" s="3">
        <v>0.90209790209790197</v>
      </c>
      <c r="AB19" s="3">
        <v>6.9930069930069904E-3</v>
      </c>
      <c r="AC19" s="3">
        <v>0</v>
      </c>
      <c r="AD19" s="3">
        <v>0</v>
      </c>
      <c r="AE19" s="3">
        <v>0</v>
      </c>
      <c r="AF19" s="3">
        <v>0</v>
      </c>
      <c r="AG19" s="3">
        <v>0</v>
      </c>
      <c r="AH19" s="3">
        <v>0</v>
      </c>
      <c r="AI19" s="3">
        <v>0</v>
      </c>
      <c r="AJ19" s="3">
        <v>0</v>
      </c>
      <c r="AK19" s="3">
        <v>5.2447552447552399E-2</v>
      </c>
      <c r="AL19" s="3">
        <v>0</v>
      </c>
      <c r="AM19" s="3">
        <v>0.94755244755244705</v>
      </c>
      <c r="AN19" s="3">
        <v>0.46666666666666701</v>
      </c>
      <c r="AO19" s="3">
        <v>0.20256410256410301</v>
      </c>
      <c r="AP19" s="3">
        <v>0.28425196850393702</v>
      </c>
      <c r="AQ19" s="3"/>
      <c r="AR19" s="3"/>
      <c r="AS19" s="3"/>
      <c r="AT19" s="3"/>
      <c r="AU19" s="3"/>
      <c r="AV19" s="3"/>
      <c r="AW19" s="6"/>
      <c r="AX19" s="6"/>
    </row>
    <row r="20" spans="1:50" ht="70" x14ac:dyDescent="0.2">
      <c r="A20" s="3" t="s">
        <v>192</v>
      </c>
      <c r="B20" s="3" t="s">
        <v>100</v>
      </c>
      <c r="C20" s="3">
        <v>39707358</v>
      </c>
      <c r="D20" s="3" t="s">
        <v>67</v>
      </c>
      <c r="E20" s="3" t="s">
        <v>46</v>
      </c>
      <c r="F20" s="3" t="s">
        <v>53</v>
      </c>
      <c r="G20" s="3" t="s">
        <v>46</v>
      </c>
      <c r="H20" s="3" t="s">
        <v>142</v>
      </c>
      <c r="I20" s="3" t="s">
        <v>181</v>
      </c>
      <c r="J20" s="20" t="s">
        <v>193</v>
      </c>
      <c r="K20" s="3">
        <v>0.10165484633569701</v>
      </c>
      <c r="L20" s="3">
        <v>423</v>
      </c>
      <c r="M20" s="3">
        <v>-0.19809708946130899</v>
      </c>
      <c r="N20" s="3">
        <v>2.4868295885466902E-4</v>
      </c>
      <c r="O20" s="20" t="s">
        <v>194</v>
      </c>
      <c r="P20" s="3">
        <v>22</v>
      </c>
      <c r="Q20" s="3">
        <v>180</v>
      </c>
      <c r="R20" s="3">
        <v>227</v>
      </c>
      <c r="S20" s="3">
        <v>0</v>
      </c>
      <c r="T20" s="3">
        <v>0</v>
      </c>
      <c r="U20" s="3">
        <v>0</v>
      </c>
      <c r="V20" s="3">
        <v>0</v>
      </c>
      <c r="W20" s="3">
        <v>0</v>
      </c>
      <c r="X20" s="3">
        <v>0</v>
      </c>
      <c r="Y20" s="3">
        <v>0</v>
      </c>
      <c r="Z20" s="3">
        <v>0</v>
      </c>
      <c r="AA20" s="3">
        <v>0</v>
      </c>
      <c r="AB20" s="3">
        <v>0</v>
      </c>
      <c r="AC20" s="3">
        <v>0</v>
      </c>
      <c r="AD20" s="3">
        <v>0.52913752913752898</v>
      </c>
      <c r="AE20" s="3">
        <v>0.41958041958042003</v>
      </c>
      <c r="AF20" s="3">
        <v>5.1282051282051301E-2</v>
      </c>
      <c r="AG20" s="3">
        <v>0</v>
      </c>
      <c r="AH20" s="3">
        <v>0</v>
      </c>
      <c r="AI20" s="3">
        <v>0</v>
      </c>
      <c r="AJ20" s="3">
        <v>0.738927738927739</v>
      </c>
      <c r="AK20" s="3">
        <v>0</v>
      </c>
      <c r="AL20" s="3">
        <v>0.261072261072261</v>
      </c>
      <c r="AM20" s="3">
        <v>0</v>
      </c>
      <c r="AN20" s="3">
        <v>0.185714285714286</v>
      </c>
      <c r="AO20" s="3">
        <v>0.28258426966292099</v>
      </c>
      <c r="AP20" s="3">
        <v>0.283035714285714</v>
      </c>
      <c r="AQ20" s="3" t="s">
        <v>914</v>
      </c>
      <c r="AR20" s="3"/>
      <c r="AS20" s="3" t="s">
        <v>652</v>
      </c>
      <c r="AT20" s="3" t="s">
        <v>653</v>
      </c>
      <c r="AU20" s="4">
        <v>1</v>
      </c>
      <c r="AV20" s="5">
        <v>0.91539999999999999</v>
      </c>
      <c r="AW20" s="10" t="s">
        <v>654</v>
      </c>
      <c r="AX20" s="6" t="s">
        <v>655</v>
      </c>
    </row>
    <row r="21" spans="1:50" x14ac:dyDescent="0.2">
      <c r="A21" s="3" t="s">
        <v>195</v>
      </c>
      <c r="B21" s="3" t="s">
        <v>70</v>
      </c>
      <c r="C21" s="3">
        <v>397077923</v>
      </c>
      <c r="D21" s="3" t="s">
        <v>67</v>
      </c>
      <c r="E21" s="3" t="s">
        <v>53</v>
      </c>
      <c r="F21" s="3" t="s">
        <v>46</v>
      </c>
      <c r="G21" s="3" t="s">
        <v>46</v>
      </c>
      <c r="H21" s="3" t="s">
        <v>142</v>
      </c>
      <c r="I21" s="3" t="s">
        <v>181</v>
      </c>
      <c r="J21" s="20" t="s">
        <v>196</v>
      </c>
      <c r="K21" s="3">
        <v>7.0921985815602896E-3</v>
      </c>
      <c r="L21" s="3">
        <v>423</v>
      </c>
      <c r="M21" s="3">
        <v>-0.70634333780841996</v>
      </c>
      <c r="N21" s="3">
        <v>2.83868832648713E-4</v>
      </c>
      <c r="O21" s="3">
        <v>0.81724332015852097</v>
      </c>
      <c r="P21" s="3">
        <v>1</v>
      </c>
      <c r="Q21" s="3">
        <v>98</v>
      </c>
      <c r="R21" s="3">
        <v>330</v>
      </c>
      <c r="S21" s="3">
        <v>0</v>
      </c>
      <c r="T21" s="3">
        <v>0</v>
      </c>
      <c r="U21" s="3">
        <v>0</v>
      </c>
      <c r="V21" s="3">
        <v>0</v>
      </c>
      <c r="W21" s="3">
        <v>0</v>
      </c>
      <c r="X21" s="3">
        <v>0</v>
      </c>
      <c r="Y21" s="3">
        <v>0</v>
      </c>
      <c r="Z21" s="3">
        <v>0</v>
      </c>
      <c r="AA21" s="3">
        <v>0</v>
      </c>
      <c r="AB21" s="3">
        <v>0</v>
      </c>
      <c r="AC21" s="3">
        <v>0</v>
      </c>
      <c r="AD21" s="3">
        <v>0.76923076923076905</v>
      </c>
      <c r="AE21" s="3">
        <v>0.228438228438228</v>
      </c>
      <c r="AF21" s="3">
        <v>2.3310023310023301E-3</v>
      </c>
      <c r="AG21" s="3">
        <v>0</v>
      </c>
      <c r="AH21" s="3">
        <v>0</v>
      </c>
      <c r="AI21" s="3">
        <v>0</v>
      </c>
      <c r="AJ21" s="3">
        <v>0.88344988344988395</v>
      </c>
      <c r="AK21" s="3">
        <v>0</v>
      </c>
      <c r="AL21" s="3">
        <v>0.116550116550117</v>
      </c>
      <c r="AM21" s="3">
        <v>0</v>
      </c>
      <c r="AN21" s="3">
        <v>0.2</v>
      </c>
      <c r="AO21" s="3">
        <v>0.28125</v>
      </c>
      <c r="AP21" s="3">
        <v>0.27730061349693302</v>
      </c>
      <c r="AQ21" s="3" t="s">
        <v>914</v>
      </c>
      <c r="AR21" s="3"/>
      <c r="AS21" s="3" t="s">
        <v>635</v>
      </c>
      <c r="AT21" s="3" t="s">
        <v>636</v>
      </c>
      <c r="AU21" s="4">
        <v>1</v>
      </c>
      <c r="AV21" s="5">
        <v>0.82299999999999995</v>
      </c>
      <c r="AW21" s="6"/>
      <c r="AX21" s="6"/>
    </row>
    <row r="22" spans="1:50" ht="56" x14ac:dyDescent="0.2">
      <c r="A22" s="3" t="s">
        <v>197</v>
      </c>
      <c r="B22" s="3" t="s">
        <v>198</v>
      </c>
      <c r="C22" s="3">
        <v>560816755</v>
      </c>
      <c r="D22" s="3" t="s">
        <v>67</v>
      </c>
      <c r="E22" s="3" t="s">
        <v>53</v>
      </c>
      <c r="F22" s="3" t="s">
        <v>46</v>
      </c>
      <c r="G22" s="3" t="s">
        <v>46</v>
      </c>
      <c r="H22" s="3" t="s">
        <v>142</v>
      </c>
      <c r="I22" s="3" t="s">
        <v>181</v>
      </c>
      <c r="J22" s="20" t="s">
        <v>199</v>
      </c>
      <c r="K22" s="3">
        <v>4.72813238770686E-3</v>
      </c>
      <c r="L22" s="3">
        <v>423</v>
      </c>
      <c r="M22" s="3">
        <v>-0.76798651003835505</v>
      </c>
      <c r="N22" s="3">
        <v>2.4868295885466902E-4</v>
      </c>
      <c r="O22" s="3">
        <v>0</v>
      </c>
      <c r="P22" s="3">
        <v>32</v>
      </c>
      <c r="Q22" s="3">
        <v>212</v>
      </c>
      <c r="R22" s="3">
        <v>185</v>
      </c>
      <c r="S22" s="3">
        <v>0</v>
      </c>
      <c r="T22" s="3">
        <v>0</v>
      </c>
      <c r="U22" s="3">
        <v>0</v>
      </c>
      <c r="V22" s="3">
        <v>0</v>
      </c>
      <c r="W22" s="3">
        <v>0</v>
      </c>
      <c r="X22" s="3">
        <v>0</v>
      </c>
      <c r="Y22" s="3">
        <v>0</v>
      </c>
      <c r="Z22" s="3">
        <v>0</v>
      </c>
      <c r="AA22" s="3">
        <v>0</v>
      </c>
      <c r="AB22" s="3">
        <v>0</v>
      </c>
      <c r="AC22" s="3">
        <v>0</v>
      </c>
      <c r="AD22" s="3">
        <v>0.43123543123543101</v>
      </c>
      <c r="AE22" s="3">
        <v>0.49417249417249398</v>
      </c>
      <c r="AF22" s="3">
        <v>7.4592074592074606E-2</v>
      </c>
      <c r="AG22" s="3">
        <v>0</v>
      </c>
      <c r="AH22" s="3">
        <v>0</v>
      </c>
      <c r="AI22" s="3">
        <v>0</v>
      </c>
      <c r="AJ22" s="3">
        <v>0.678321678321678</v>
      </c>
      <c r="AK22" s="3">
        <v>0</v>
      </c>
      <c r="AL22" s="3">
        <v>0.321678321678322</v>
      </c>
      <c r="AM22" s="3">
        <v>0</v>
      </c>
      <c r="AN22" s="3">
        <v>0.38124999999999998</v>
      </c>
      <c r="AO22" s="3">
        <v>0.26634615384615401</v>
      </c>
      <c r="AP22" s="3">
        <v>0.27322404371584702</v>
      </c>
      <c r="AQ22" s="3" t="s">
        <v>914</v>
      </c>
      <c r="AR22" s="3"/>
      <c r="AS22" s="3" t="s">
        <v>656</v>
      </c>
      <c r="AT22" s="3" t="s">
        <v>636</v>
      </c>
      <c r="AU22" s="4">
        <v>0.79</v>
      </c>
      <c r="AV22" s="5">
        <v>0.69379999999999997</v>
      </c>
      <c r="AW22" s="18" t="s">
        <v>657</v>
      </c>
      <c r="AX22" s="6" t="s">
        <v>658</v>
      </c>
    </row>
    <row r="23" spans="1:50" x14ac:dyDescent="0.2">
      <c r="A23" s="3" t="s">
        <v>84</v>
      </c>
      <c r="B23" s="3" t="s">
        <v>43</v>
      </c>
      <c r="C23" s="3">
        <v>320309248</v>
      </c>
      <c r="D23" s="3" t="s">
        <v>85</v>
      </c>
      <c r="E23" s="3" t="s">
        <v>53</v>
      </c>
      <c r="F23" s="3" t="s">
        <v>45</v>
      </c>
      <c r="G23" s="3" t="s">
        <v>45</v>
      </c>
      <c r="H23" s="3" t="s">
        <v>86</v>
      </c>
      <c r="I23" s="3" t="s">
        <v>48</v>
      </c>
      <c r="J23" s="20" t="s">
        <v>87</v>
      </c>
      <c r="K23" s="3">
        <v>0.37566137566137597</v>
      </c>
      <c r="L23" s="3">
        <v>378</v>
      </c>
      <c r="M23" s="3">
        <v>0.13958984393145499</v>
      </c>
      <c r="N23" s="3">
        <v>1.6790200920059801E-4</v>
      </c>
      <c r="O23" s="20" t="s">
        <v>88</v>
      </c>
      <c r="P23" s="3">
        <v>0</v>
      </c>
      <c r="Q23" s="3">
        <v>0</v>
      </c>
      <c r="R23" s="3">
        <v>186</v>
      </c>
      <c r="S23" s="3">
        <v>0</v>
      </c>
      <c r="T23" s="3">
        <v>86</v>
      </c>
      <c r="U23" s="3">
        <v>0</v>
      </c>
      <c r="V23" s="3">
        <v>0</v>
      </c>
      <c r="W23" s="3">
        <v>0</v>
      </c>
      <c r="X23" s="3">
        <v>0</v>
      </c>
      <c r="Y23" s="3">
        <v>157</v>
      </c>
      <c r="Z23" s="3">
        <v>0</v>
      </c>
      <c r="AA23" s="3">
        <v>0.20046620046620001</v>
      </c>
      <c r="AB23" s="3">
        <v>0</v>
      </c>
      <c r="AC23" s="3">
        <v>0</v>
      </c>
      <c r="AD23" s="3">
        <v>0.43356643356643398</v>
      </c>
      <c r="AE23" s="3">
        <v>0</v>
      </c>
      <c r="AF23" s="3">
        <v>0</v>
      </c>
      <c r="AG23" s="3">
        <v>0</v>
      </c>
      <c r="AH23" s="3">
        <v>0.36596736596736601</v>
      </c>
      <c r="AI23" s="3">
        <v>0</v>
      </c>
      <c r="AJ23" s="3">
        <v>0.61655011655011605</v>
      </c>
      <c r="AK23" s="3">
        <v>0</v>
      </c>
      <c r="AL23" s="3">
        <v>0</v>
      </c>
      <c r="AM23" s="3">
        <v>0.38344988344988301</v>
      </c>
      <c r="AN23" s="3">
        <v>0.46666666666666701</v>
      </c>
      <c r="AO23" s="3">
        <v>0.378571428571429</v>
      </c>
      <c r="AP23" s="3">
        <v>0.68072289156626498</v>
      </c>
      <c r="AQ23" s="3"/>
      <c r="AR23" s="3"/>
      <c r="AS23" s="3"/>
      <c r="AT23" s="3"/>
      <c r="AU23" s="3"/>
      <c r="AV23" s="3"/>
      <c r="AW23" s="6"/>
      <c r="AX23" s="6"/>
    </row>
    <row r="24" spans="1:50" x14ac:dyDescent="0.2">
      <c r="A24" s="3" t="s">
        <v>89</v>
      </c>
      <c r="B24" s="3" t="s">
        <v>90</v>
      </c>
      <c r="C24" s="3">
        <v>140707817</v>
      </c>
      <c r="D24" s="3" t="s">
        <v>52</v>
      </c>
      <c r="E24" s="3" t="s">
        <v>46</v>
      </c>
      <c r="F24" s="3" t="s">
        <v>53</v>
      </c>
      <c r="G24" s="3" t="s">
        <v>53</v>
      </c>
      <c r="H24" s="3" t="s">
        <v>86</v>
      </c>
      <c r="I24" s="3" t="s">
        <v>48</v>
      </c>
      <c r="J24" s="20" t="s">
        <v>91</v>
      </c>
      <c r="K24" s="3">
        <v>1.32275132275128E-3</v>
      </c>
      <c r="L24" s="3">
        <v>378</v>
      </c>
      <c r="M24" s="3">
        <v>-2.32279007999067</v>
      </c>
      <c r="N24" s="3">
        <v>5.2340032464422604E-4</v>
      </c>
      <c r="O24" s="20" t="s">
        <v>92</v>
      </c>
      <c r="P24" s="3">
        <v>378</v>
      </c>
      <c r="Q24" s="3">
        <v>49</v>
      </c>
      <c r="R24" s="3">
        <v>2</v>
      </c>
      <c r="S24" s="3">
        <v>0</v>
      </c>
      <c r="T24" s="3">
        <v>0</v>
      </c>
      <c r="U24" s="3">
        <v>0</v>
      </c>
      <c r="V24" s="3">
        <v>0</v>
      </c>
      <c r="W24" s="3">
        <v>0</v>
      </c>
      <c r="X24" s="3">
        <v>0</v>
      </c>
      <c r="Y24" s="3">
        <v>0</v>
      </c>
      <c r="Z24" s="3">
        <v>0</v>
      </c>
      <c r="AA24" s="3">
        <v>0</v>
      </c>
      <c r="AB24" s="3">
        <v>0</v>
      </c>
      <c r="AC24" s="3">
        <v>0</v>
      </c>
      <c r="AD24" s="3">
        <v>4.6620046620046603E-3</v>
      </c>
      <c r="AE24" s="3">
        <v>0.114219114219114</v>
      </c>
      <c r="AF24" s="3">
        <v>0.88111888111888104</v>
      </c>
      <c r="AG24" s="3">
        <v>0</v>
      </c>
      <c r="AH24" s="3">
        <v>0</v>
      </c>
      <c r="AI24" s="3">
        <v>0</v>
      </c>
      <c r="AJ24" s="3">
        <v>6.1771561771561803E-2</v>
      </c>
      <c r="AK24" s="3">
        <v>0</v>
      </c>
      <c r="AL24" s="3">
        <v>0.93822843822843804</v>
      </c>
      <c r="AM24" s="3">
        <v>0</v>
      </c>
      <c r="AN24" s="3">
        <v>0.4</v>
      </c>
      <c r="AO24" s="3">
        <v>0.58444444444444399</v>
      </c>
      <c r="AP24" s="3">
        <v>0.52078313253011999</v>
      </c>
      <c r="AQ24" s="3"/>
      <c r="AR24" s="3"/>
      <c r="AS24" s="3"/>
      <c r="AT24" s="3"/>
      <c r="AU24" s="3"/>
      <c r="AV24" s="3"/>
      <c r="AW24" s="6"/>
      <c r="AX24" s="6"/>
    </row>
    <row r="25" spans="1:50" x14ac:dyDescent="0.2">
      <c r="A25" s="3" t="s">
        <v>93</v>
      </c>
      <c r="B25" s="3" t="s">
        <v>57</v>
      </c>
      <c r="C25" s="3">
        <v>533092483</v>
      </c>
      <c r="D25" s="3" t="s">
        <v>58</v>
      </c>
      <c r="E25" s="3" t="s">
        <v>46</v>
      </c>
      <c r="F25" s="3" t="s">
        <v>59</v>
      </c>
      <c r="G25" s="3" t="s">
        <v>59</v>
      </c>
      <c r="H25" s="3" t="s">
        <v>86</v>
      </c>
      <c r="I25" s="3" t="s">
        <v>48</v>
      </c>
      <c r="J25" s="20" t="s">
        <v>94</v>
      </c>
      <c r="K25" s="3">
        <v>1.32275132275128E-3</v>
      </c>
      <c r="L25" s="3">
        <v>378</v>
      </c>
      <c r="M25" s="3">
        <v>-3.6635176241119298</v>
      </c>
      <c r="N25" s="20" t="s">
        <v>95</v>
      </c>
      <c r="O25" s="3">
        <v>0</v>
      </c>
      <c r="P25" s="3">
        <v>423</v>
      </c>
      <c r="Q25" s="3">
        <v>0</v>
      </c>
      <c r="R25" s="3">
        <v>0</v>
      </c>
      <c r="S25" s="3">
        <v>0</v>
      </c>
      <c r="T25" s="3">
        <v>0</v>
      </c>
      <c r="U25" s="3">
        <v>0</v>
      </c>
      <c r="V25" s="3">
        <v>6</v>
      </c>
      <c r="W25" s="3">
        <v>0</v>
      </c>
      <c r="X25" s="3">
        <v>0</v>
      </c>
      <c r="Y25" s="3">
        <v>0</v>
      </c>
      <c r="Z25" s="3">
        <v>0</v>
      </c>
      <c r="AA25" s="3">
        <v>0</v>
      </c>
      <c r="AB25" s="3">
        <v>0</v>
      </c>
      <c r="AC25" s="3">
        <v>0</v>
      </c>
      <c r="AD25" s="3">
        <v>0</v>
      </c>
      <c r="AE25" s="3">
        <v>0</v>
      </c>
      <c r="AF25" s="3">
        <v>0.98601398601398604</v>
      </c>
      <c r="AG25" s="3">
        <v>0</v>
      </c>
      <c r="AH25" s="3">
        <v>0</v>
      </c>
      <c r="AI25" s="3">
        <v>1.3986013986014E-2</v>
      </c>
      <c r="AJ25" s="3">
        <v>0</v>
      </c>
      <c r="AK25" s="3">
        <v>6.9930069930069904E-3</v>
      </c>
      <c r="AL25" s="3">
        <v>0.99300699300699302</v>
      </c>
      <c r="AM25" s="3">
        <v>0</v>
      </c>
      <c r="AN25" s="3" t="s">
        <v>55</v>
      </c>
      <c r="AO25" s="3">
        <v>0.54</v>
      </c>
      <c r="AP25" s="3">
        <v>0.52788203753351204</v>
      </c>
      <c r="AQ25" s="3"/>
      <c r="AR25" s="3"/>
      <c r="AS25" s="3"/>
      <c r="AT25" s="3"/>
      <c r="AU25" s="3"/>
      <c r="AV25" s="3"/>
      <c r="AW25" s="6"/>
      <c r="AX25" s="6"/>
    </row>
    <row r="26" spans="1:50" x14ac:dyDescent="0.2">
      <c r="A26" s="3" t="s">
        <v>96</v>
      </c>
      <c r="B26" s="3" t="s">
        <v>97</v>
      </c>
      <c r="C26" s="3">
        <v>476215400</v>
      </c>
      <c r="D26" s="3" t="s">
        <v>85</v>
      </c>
      <c r="E26" s="3" t="s">
        <v>53</v>
      </c>
      <c r="F26" s="3" t="s">
        <v>45</v>
      </c>
      <c r="G26" s="3" t="s">
        <v>45</v>
      </c>
      <c r="H26" s="3" t="s">
        <v>86</v>
      </c>
      <c r="I26" s="3" t="s">
        <v>48</v>
      </c>
      <c r="J26" s="20" t="s">
        <v>98</v>
      </c>
      <c r="K26" s="3">
        <v>1.32275132275133E-2</v>
      </c>
      <c r="L26" s="3">
        <v>378</v>
      </c>
      <c r="M26" s="3">
        <v>-0.84002724876221202</v>
      </c>
      <c r="N26" s="3">
        <v>2.02953931682754E-4</v>
      </c>
      <c r="O26" s="3">
        <v>0</v>
      </c>
      <c r="P26" s="3">
        <v>0</v>
      </c>
      <c r="Q26" s="3">
        <v>0</v>
      </c>
      <c r="R26" s="3">
        <v>422</v>
      </c>
      <c r="S26" s="3">
        <v>0</v>
      </c>
      <c r="T26" s="3">
        <v>0</v>
      </c>
      <c r="U26" s="3">
        <v>0</v>
      </c>
      <c r="V26" s="3">
        <v>0</v>
      </c>
      <c r="W26" s="3">
        <v>0</v>
      </c>
      <c r="X26" s="3">
        <v>0</v>
      </c>
      <c r="Y26" s="3">
        <v>7</v>
      </c>
      <c r="Z26" s="3">
        <v>0</v>
      </c>
      <c r="AA26" s="3">
        <v>0</v>
      </c>
      <c r="AB26" s="3">
        <v>0</v>
      </c>
      <c r="AC26" s="3">
        <v>0</v>
      </c>
      <c r="AD26" s="3">
        <v>0.98368298368298401</v>
      </c>
      <c r="AE26" s="3">
        <v>0</v>
      </c>
      <c r="AF26" s="3">
        <v>0</v>
      </c>
      <c r="AG26" s="3">
        <v>0</v>
      </c>
      <c r="AH26" s="3">
        <v>1.6317016317016299E-2</v>
      </c>
      <c r="AI26" s="3">
        <v>0</v>
      </c>
      <c r="AJ26" s="3">
        <v>0.99184149184149195</v>
      </c>
      <c r="AK26" s="3">
        <v>0</v>
      </c>
      <c r="AL26" s="3">
        <v>0</v>
      </c>
      <c r="AM26" s="3">
        <v>8.1585081585081598E-3</v>
      </c>
      <c r="AN26" s="3" t="s">
        <v>55</v>
      </c>
      <c r="AO26" s="3">
        <v>0.65714285714285703</v>
      </c>
      <c r="AP26" s="3">
        <v>0.52560646900269503</v>
      </c>
      <c r="AQ26" s="3"/>
      <c r="AR26" s="3"/>
      <c r="AS26" s="3"/>
      <c r="AT26" s="3"/>
      <c r="AU26" s="3"/>
      <c r="AV26" s="3"/>
      <c r="AW26" s="6"/>
      <c r="AX26" s="6"/>
    </row>
    <row r="27" spans="1:50" x14ac:dyDescent="0.2">
      <c r="A27" s="3" t="s">
        <v>99</v>
      </c>
      <c r="B27" s="3" t="s">
        <v>100</v>
      </c>
      <c r="C27" s="3">
        <v>332031903</v>
      </c>
      <c r="D27" s="3" t="s">
        <v>67</v>
      </c>
      <c r="E27" s="3" t="s">
        <v>53</v>
      </c>
      <c r="F27" s="3" t="s">
        <v>46</v>
      </c>
      <c r="G27" s="3" t="s">
        <v>46</v>
      </c>
      <c r="H27" s="3" t="s">
        <v>86</v>
      </c>
      <c r="I27" s="3" t="s">
        <v>48</v>
      </c>
      <c r="J27" s="20" t="s">
        <v>101</v>
      </c>
      <c r="K27" s="3">
        <v>1.9841269841269899E-2</v>
      </c>
      <c r="L27" s="3">
        <v>378</v>
      </c>
      <c r="M27" s="3">
        <v>-0.66256436173536104</v>
      </c>
      <c r="N27" s="20" t="s">
        <v>102</v>
      </c>
      <c r="O27" s="20" t="s">
        <v>103</v>
      </c>
      <c r="P27" s="3">
        <v>60</v>
      </c>
      <c r="Q27" s="3">
        <v>141</v>
      </c>
      <c r="R27" s="3">
        <v>228</v>
      </c>
      <c r="S27" s="3">
        <v>0</v>
      </c>
      <c r="T27" s="3">
        <v>0</v>
      </c>
      <c r="U27" s="3">
        <v>0</v>
      </c>
      <c r="V27" s="3">
        <v>0</v>
      </c>
      <c r="W27" s="3">
        <v>0</v>
      </c>
      <c r="X27" s="3">
        <v>0</v>
      </c>
      <c r="Y27" s="3">
        <v>0</v>
      </c>
      <c r="Z27" s="3">
        <v>0</v>
      </c>
      <c r="AA27" s="3">
        <v>0</v>
      </c>
      <c r="AB27" s="3">
        <v>0</v>
      </c>
      <c r="AC27" s="3">
        <v>0</v>
      </c>
      <c r="AD27" s="3">
        <v>0.53146853146853101</v>
      </c>
      <c r="AE27" s="3">
        <v>0.32867132867132898</v>
      </c>
      <c r="AF27" s="3">
        <v>0.13986013986014001</v>
      </c>
      <c r="AG27" s="3">
        <v>0</v>
      </c>
      <c r="AH27" s="3">
        <v>0</v>
      </c>
      <c r="AI27" s="3">
        <v>0</v>
      </c>
      <c r="AJ27" s="3">
        <v>0.69580419580419595</v>
      </c>
      <c r="AK27" s="3">
        <v>0</v>
      </c>
      <c r="AL27" s="3">
        <v>0.304195804195804</v>
      </c>
      <c r="AM27" s="3">
        <v>0</v>
      </c>
      <c r="AN27" s="3">
        <v>0.56851851851851898</v>
      </c>
      <c r="AO27" s="3">
        <v>0.55901639344262299</v>
      </c>
      <c r="AP27" s="3">
        <v>0.49851485148514901</v>
      </c>
      <c r="AQ27" s="3"/>
      <c r="AR27" s="3"/>
      <c r="AS27" s="3"/>
      <c r="AT27" s="3"/>
      <c r="AU27" s="3"/>
      <c r="AV27" s="3"/>
      <c r="AW27" s="6"/>
      <c r="AX27" s="6"/>
    </row>
    <row r="28" spans="1:50" ht="56" x14ac:dyDescent="0.2">
      <c r="A28" s="3" t="s">
        <v>104</v>
      </c>
      <c r="B28" s="3" t="s">
        <v>105</v>
      </c>
      <c r="C28" s="3">
        <v>83112789</v>
      </c>
      <c r="D28" s="3" t="s">
        <v>71</v>
      </c>
      <c r="E28" s="3" t="s">
        <v>45</v>
      </c>
      <c r="F28" s="3" t="s">
        <v>59</v>
      </c>
      <c r="G28" s="3" t="s">
        <v>59</v>
      </c>
      <c r="H28" s="3" t="s">
        <v>86</v>
      </c>
      <c r="I28" s="3" t="s">
        <v>48</v>
      </c>
      <c r="J28" s="20" t="s">
        <v>106</v>
      </c>
      <c r="K28" s="3">
        <v>2.6455026455026701E-3</v>
      </c>
      <c r="L28" s="3">
        <v>378</v>
      </c>
      <c r="M28" s="3">
        <v>-1.5559514059817201</v>
      </c>
      <c r="N28" s="3">
        <v>9.0623956096628003E-4</v>
      </c>
      <c r="O28" s="3">
        <v>0.74374661024706101</v>
      </c>
      <c r="P28" s="3">
        <v>0</v>
      </c>
      <c r="Q28" s="3">
        <v>0</v>
      </c>
      <c r="R28" s="3">
        <v>0</v>
      </c>
      <c r="S28" s="3">
        <v>0</v>
      </c>
      <c r="T28" s="3">
        <v>410</v>
      </c>
      <c r="U28" s="3">
        <v>0</v>
      </c>
      <c r="V28" s="3">
        <v>0</v>
      </c>
      <c r="W28" s="3">
        <v>19</v>
      </c>
      <c r="X28" s="3">
        <v>0</v>
      </c>
      <c r="Y28" s="3">
        <v>0</v>
      </c>
      <c r="Z28" s="3">
        <v>4.4289044289044302E-2</v>
      </c>
      <c r="AA28" s="3">
        <v>0.95571095571095599</v>
      </c>
      <c r="AB28" s="3">
        <v>0</v>
      </c>
      <c r="AC28" s="3">
        <v>0</v>
      </c>
      <c r="AD28" s="3">
        <v>0</v>
      </c>
      <c r="AE28" s="3">
        <v>0</v>
      </c>
      <c r="AF28" s="3">
        <v>0</v>
      </c>
      <c r="AG28" s="3">
        <v>0</v>
      </c>
      <c r="AH28" s="3">
        <v>0</v>
      </c>
      <c r="AI28" s="3">
        <v>0</v>
      </c>
      <c r="AJ28" s="3">
        <v>0</v>
      </c>
      <c r="AK28" s="3">
        <v>2.2144522144522099E-2</v>
      </c>
      <c r="AL28" s="3">
        <v>0</v>
      </c>
      <c r="AM28" s="3">
        <v>0.97785547785547799</v>
      </c>
      <c r="AN28" s="3" t="s">
        <v>55</v>
      </c>
      <c r="AO28" s="3">
        <v>0.33124999999999999</v>
      </c>
      <c r="AP28" s="3">
        <v>0.53674033149171296</v>
      </c>
      <c r="AQ28" s="3" t="s">
        <v>659</v>
      </c>
      <c r="AR28" s="3" t="s">
        <v>660</v>
      </c>
      <c r="AS28" s="3" t="s">
        <v>913</v>
      </c>
      <c r="AT28" s="3"/>
      <c r="AU28" s="3"/>
      <c r="AV28" s="3"/>
      <c r="AW28" s="8" t="s">
        <v>661</v>
      </c>
      <c r="AX28" s="6" t="s">
        <v>662</v>
      </c>
    </row>
    <row r="29" spans="1:50" x14ac:dyDescent="0.2">
      <c r="A29" s="3" t="s">
        <v>107</v>
      </c>
      <c r="B29" s="3" t="s">
        <v>108</v>
      </c>
      <c r="C29" s="3">
        <v>478717202</v>
      </c>
      <c r="D29" s="3" t="s">
        <v>109</v>
      </c>
      <c r="E29" s="3" t="s">
        <v>45</v>
      </c>
      <c r="F29" s="3" t="s">
        <v>59</v>
      </c>
      <c r="G29" s="3" t="s">
        <v>45</v>
      </c>
      <c r="H29" s="3" t="s">
        <v>86</v>
      </c>
      <c r="I29" s="3" t="s">
        <v>48</v>
      </c>
      <c r="J29" s="20" t="s">
        <v>110</v>
      </c>
      <c r="K29" s="3">
        <v>1.1904761904761901E-2</v>
      </c>
      <c r="L29" s="3">
        <v>378</v>
      </c>
      <c r="M29" s="3">
        <v>-0.76355287420728502</v>
      </c>
      <c r="N29" s="3">
        <v>1.00471320743931E-4</v>
      </c>
      <c r="O29" s="20" t="s">
        <v>111</v>
      </c>
      <c r="P29" s="3">
        <v>0</v>
      </c>
      <c r="Q29" s="3">
        <v>0</v>
      </c>
      <c r="R29" s="3">
        <v>0</v>
      </c>
      <c r="S29" s="3">
        <v>0</v>
      </c>
      <c r="T29" s="3">
        <v>61</v>
      </c>
      <c r="U29" s="3">
        <v>63</v>
      </c>
      <c r="V29" s="3">
        <v>0</v>
      </c>
      <c r="W29" s="3">
        <v>305</v>
      </c>
      <c r="X29" s="3">
        <v>0</v>
      </c>
      <c r="Y29" s="3">
        <v>0</v>
      </c>
      <c r="Z29" s="3">
        <v>0.71095571095571097</v>
      </c>
      <c r="AA29" s="3">
        <v>0.14219114219114201</v>
      </c>
      <c r="AB29" s="3">
        <v>0.14685314685314699</v>
      </c>
      <c r="AC29" s="3">
        <v>0</v>
      </c>
      <c r="AD29" s="3">
        <v>0</v>
      </c>
      <c r="AE29" s="3">
        <v>0</v>
      </c>
      <c r="AF29" s="3">
        <v>0</v>
      </c>
      <c r="AG29" s="3">
        <v>0</v>
      </c>
      <c r="AH29" s="3">
        <v>0</v>
      </c>
      <c r="AI29" s="3">
        <v>0</v>
      </c>
      <c r="AJ29" s="3">
        <v>0</v>
      </c>
      <c r="AK29" s="3">
        <v>0.50233100233100203</v>
      </c>
      <c r="AL29" s="3">
        <v>0</v>
      </c>
      <c r="AM29" s="3">
        <v>0.49766899766899803</v>
      </c>
      <c r="AN29" s="3">
        <v>0.40943396226415102</v>
      </c>
      <c r="AO29" s="3">
        <v>0.55477941176470602</v>
      </c>
      <c r="AP29" s="3">
        <v>0.50943396226415105</v>
      </c>
      <c r="AQ29" s="3"/>
      <c r="AR29" s="3"/>
      <c r="AS29" s="3"/>
      <c r="AT29" s="3"/>
      <c r="AU29" s="3"/>
      <c r="AV29" s="3"/>
      <c r="AW29" s="6"/>
      <c r="AX29" s="6"/>
    </row>
    <row r="30" spans="1:50" x14ac:dyDescent="0.2">
      <c r="A30" s="3" t="s">
        <v>112</v>
      </c>
      <c r="B30" s="3" t="s">
        <v>113</v>
      </c>
      <c r="C30" s="3">
        <v>664789157</v>
      </c>
      <c r="D30" s="3" t="s">
        <v>67</v>
      </c>
      <c r="E30" s="3" t="s">
        <v>53</v>
      </c>
      <c r="F30" s="3" t="s">
        <v>46</v>
      </c>
      <c r="G30" s="3" t="s">
        <v>46</v>
      </c>
      <c r="H30" s="3" t="s">
        <v>86</v>
      </c>
      <c r="I30" s="3" t="s">
        <v>48</v>
      </c>
      <c r="J30" s="20" t="s">
        <v>114</v>
      </c>
      <c r="K30" s="3">
        <v>9.2592592592593004E-3</v>
      </c>
      <c r="L30" s="3">
        <v>378</v>
      </c>
      <c r="M30" s="3">
        <v>-0.75020015709810295</v>
      </c>
      <c r="N30" s="3">
        <v>3.7062069056304999E-3</v>
      </c>
      <c r="O30" s="20" t="s">
        <v>115</v>
      </c>
      <c r="P30" s="3">
        <v>1</v>
      </c>
      <c r="Q30" s="3">
        <v>6</v>
      </c>
      <c r="R30" s="3">
        <v>422</v>
      </c>
      <c r="S30" s="3">
        <v>0</v>
      </c>
      <c r="T30" s="3">
        <v>0</v>
      </c>
      <c r="U30" s="3">
        <v>0</v>
      </c>
      <c r="V30" s="3">
        <v>0</v>
      </c>
      <c r="W30" s="3">
        <v>0</v>
      </c>
      <c r="X30" s="3">
        <v>0</v>
      </c>
      <c r="Y30" s="3">
        <v>0</v>
      </c>
      <c r="Z30" s="3">
        <v>0</v>
      </c>
      <c r="AA30" s="3">
        <v>0</v>
      </c>
      <c r="AB30" s="3">
        <v>0</v>
      </c>
      <c r="AC30" s="3">
        <v>0</v>
      </c>
      <c r="AD30" s="3">
        <v>0.98368298368298401</v>
      </c>
      <c r="AE30" s="3">
        <v>1.3986013986014E-2</v>
      </c>
      <c r="AF30" s="3">
        <v>2.3310023310023301E-3</v>
      </c>
      <c r="AG30" s="3">
        <v>0</v>
      </c>
      <c r="AH30" s="3">
        <v>0</v>
      </c>
      <c r="AI30" s="3">
        <v>0</v>
      </c>
      <c r="AJ30" s="3">
        <v>0.99067599067599099</v>
      </c>
      <c r="AK30" s="3">
        <v>0</v>
      </c>
      <c r="AL30" s="3">
        <v>9.3240093240093205E-3</v>
      </c>
      <c r="AM30" s="3">
        <v>0</v>
      </c>
      <c r="AN30" s="3">
        <v>1</v>
      </c>
      <c r="AO30" s="3">
        <v>0.82</v>
      </c>
      <c r="AP30" s="3">
        <v>0.52284946236559104</v>
      </c>
      <c r="AQ30" s="3"/>
      <c r="AR30" s="3"/>
      <c r="AS30" s="3"/>
      <c r="AT30" s="3"/>
      <c r="AU30" s="3"/>
      <c r="AV30" s="3"/>
      <c r="AW30" s="6"/>
      <c r="AX30" s="6"/>
    </row>
    <row r="31" spans="1:50" ht="56" x14ac:dyDescent="0.2">
      <c r="A31" s="3" t="s">
        <v>244</v>
      </c>
      <c r="B31" s="3" t="s">
        <v>90</v>
      </c>
      <c r="C31" s="3">
        <v>80542653</v>
      </c>
      <c r="D31" s="3" t="s">
        <v>71</v>
      </c>
      <c r="E31" s="3" t="s">
        <v>45</v>
      </c>
      <c r="F31" s="3" t="s">
        <v>59</v>
      </c>
      <c r="G31" s="3" t="s">
        <v>59</v>
      </c>
      <c r="H31" s="3" t="s">
        <v>86</v>
      </c>
      <c r="I31" s="3" t="s">
        <v>181</v>
      </c>
      <c r="J31" s="20" t="s">
        <v>245</v>
      </c>
      <c r="K31" s="3">
        <v>3.53773584905659E-3</v>
      </c>
      <c r="L31" s="3">
        <v>424</v>
      </c>
      <c r="M31" s="3">
        <v>-6.6081586283236202</v>
      </c>
      <c r="N31" s="3">
        <v>7.6949882896136298E-3</v>
      </c>
      <c r="O31" s="3">
        <v>0</v>
      </c>
      <c r="P31" s="3">
        <v>0</v>
      </c>
      <c r="Q31" s="3">
        <v>0</v>
      </c>
      <c r="R31" s="3">
        <v>0</v>
      </c>
      <c r="S31" s="3">
        <v>0</v>
      </c>
      <c r="T31" s="3">
        <v>408</v>
      </c>
      <c r="U31" s="3">
        <v>1</v>
      </c>
      <c r="V31" s="3">
        <v>0</v>
      </c>
      <c r="W31" s="3">
        <v>20</v>
      </c>
      <c r="X31" s="3">
        <v>0</v>
      </c>
      <c r="Y31" s="3">
        <v>0</v>
      </c>
      <c r="Z31" s="3">
        <v>4.6620046620046603E-2</v>
      </c>
      <c r="AA31" s="3">
        <v>0.95104895104895104</v>
      </c>
      <c r="AB31" s="3">
        <v>2.3310023310023301E-3</v>
      </c>
      <c r="AC31" s="3">
        <v>0</v>
      </c>
      <c r="AD31" s="3">
        <v>0</v>
      </c>
      <c r="AE31" s="3">
        <v>0</v>
      </c>
      <c r="AF31" s="3">
        <v>0</v>
      </c>
      <c r="AG31" s="3">
        <v>0</v>
      </c>
      <c r="AH31" s="3">
        <v>0</v>
      </c>
      <c r="AI31" s="3">
        <v>0</v>
      </c>
      <c r="AJ31" s="3">
        <v>0</v>
      </c>
      <c r="AK31" s="3">
        <v>2.5641025641025599E-2</v>
      </c>
      <c r="AL31" s="3">
        <v>0</v>
      </c>
      <c r="AM31" s="3">
        <v>0.97435897435897401</v>
      </c>
      <c r="AN31" s="3">
        <v>2.2000000000000002</v>
      </c>
      <c r="AO31" s="3">
        <v>3.45</v>
      </c>
      <c r="AP31" s="3">
        <v>3.0158808933002499</v>
      </c>
      <c r="AQ31" s="3" t="s">
        <v>914</v>
      </c>
      <c r="AR31" s="3"/>
      <c r="AS31" s="3" t="s">
        <v>663</v>
      </c>
      <c r="AT31" s="3" t="s">
        <v>636</v>
      </c>
      <c r="AU31" s="4">
        <v>0.99</v>
      </c>
      <c r="AV31" s="4">
        <v>0.92</v>
      </c>
      <c r="AW31" s="8" t="s">
        <v>664</v>
      </c>
      <c r="AX31" s="6" t="s">
        <v>665</v>
      </c>
    </row>
    <row r="32" spans="1:50" x14ac:dyDescent="0.2">
      <c r="A32" s="3" t="s">
        <v>246</v>
      </c>
      <c r="B32" s="3" t="s">
        <v>57</v>
      </c>
      <c r="C32" s="3">
        <v>626554531</v>
      </c>
      <c r="D32" s="3" t="s">
        <v>85</v>
      </c>
      <c r="E32" s="3" t="s">
        <v>45</v>
      </c>
      <c r="F32" s="3" t="s">
        <v>53</v>
      </c>
      <c r="G32" s="3" t="s">
        <v>45</v>
      </c>
      <c r="H32" s="3" t="s">
        <v>86</v>
      </c>
      <c r="I32" s="3" t="s">
        <v>181</v>
      </c>
      <c r="J32" s="20" t="s">
        <v>247</v>
      </c>
      <c r="K32" s="3">
        <v>7.07547169811318E-3</v>
      </c>
      <c r="L32" s="3">
        <v>424</v>
      </c>
      <c r="M32" s="3">
        <v>-5.4075463475769796</v>
      </c>
      <c r="N32" s="20" t="s">
        <v>248</v>
      </c>
      <c r="O32" s="3">
        <v>0</v>
      </c>
      <c r="P32" s="3">
        <v>0</v>
      </c>
      <c r="Q32" s="3">
        <v>0</v>
      </c>
      <c r="R32" s="3">
        <v>226</v>
      </c>
      <c r="S32" s="3">
        <v>0</v>
      </c>
      <c r="T32" s="3">
        <v>97</v>
      </c>
      <c r="U32" s="3">
        <v>0</v>
      </c>
      <c r="V32" s="3">
        <v>0</v>
      </c>
      <c r="W32" s="3">
        <v>0</v>
      </c>
      <c r="X32" s="3">
        <v>0</v>
      </c>
      <c r="Y32" s="3">
        <v>106</v>
      </c>
      <c r="Z32" s="3">
        <v>0</v>
      </c>
      <c r="AA32" s="3">
        <v>0.226107226107226</v>
      </c>
      <c r="AB32" s="3">
        <v>0</v>
      </c>
      <c r="AC32" s="3">
        <v>0</v>
      </c>
      <c r="AD32" s="3">
        <v>0.52680652680652695</v>
      </c>
      <c r="AE32" s="3">
        <v>0</v>
      </c>
      <c r="AF32" s="3">
        <v>0</v>
      </c>
      <c r="AG32" s="3">
        <v>0</v>
      </c>
      <c r="AH32" s="3">
        <v>0.24708624708624699</v>
      </c>
      <c r="AI32" s="3">
        <v>0</v>
      </c>
      <c r="AJ32" s="3">
        <v>0.65034965034964998</v>
      </c>
      <c r="AK32" s="3">
        <v>0</v>
      </c>
      <c r="AL32" s="3">
        <v>0</v>
      </c>
      <c r="AM32" s="3">
        <v>0.34965034965035002</v>
      </c>
      <c r="AN32" s="3">
        <v>2.9742268041237101</v>
      </c>
      <c r="AO32" s="3">
        <v>3.8311320754717002</v>
      </c>
      <c r="AP32" s="3">
        <v>2.6787330316742102</v>
      </c>
      <c r="AQ32" s="3"/>
      <c r="AR32" s="3"/>
      <c r="AS32" s="3"/>
      <c r="AT32" s="3"/>
      <c r="AU32" s="3"/>
      <c r="AV32" s="3"/>
      <c r="AW32" s="6"/>
      <c r="AX32" s="6"/>
    </row>
    <row r="33" spans="1:50" x14ac:dyDescent="0.2">
      <c r="A33" s="3" t="s">
        <v>249</v>
      </c>
      <c r="B33" s="3" t="s">
        <v>100</v>
      </c>
      <c r="C33" s="3">
        <v>89380677</v>
      </c>
      <c r="D33" s="3" t="s">
        <v>67</v>
      </c>
      <c r="E33" s="3" t="s">
        <v>53</v>
      </c>
      <c r="F33" s="3" t="s">
        <v>46</v>
      </c>
      <c r="G33" s="3" t="s">
        <v>46</v>
      </c>
      <c r="H33" s="3" t="s">
        <v>86</v>
      </c>
      <c r="I33" s="3" t="s">
        <v>181</v>
      </c>
      <c r="J33" s="20" t="s">
        <v>250</v>
      </c>
      <c r="K33" s="3">
        <v>2.47641509433962E-2</v>
      </c>
      <c r="L33" s="3">
        <v>424</v>
      </c>
      <c r="M33" s="3">
        <v>-2.9328607823425998</v>
      </c>
      <c r="N33" s="3">
        <v>5.0492037086263802E-3</v>
      </c>
      <c r="O33" s="3">
        <v>0</v>
      </c>
      <c r="P33" s="3">
        <v>5</v>
      </c>
      <c r="Q33" s="3">
        <v>27</v>
      </c>
      <c r="R33" s="3">
        <v>397</v>
      </c>
      <c r="S33" s="3">
        <v>0</v>
      </c>
      <c r="T33" s="3">
        <v>0</v>
      </c>
      <c r="U33" s="3">
        <v>0</v>
      </c>
      <c r="V33" s="3">
        <v>0</v>
      </c>
      <c r="W33" s="3">
        <v>0</v>
      </c>
      <c r="X33" s="3">
        <v>0</v>
      </c>
      <c r="Y33" s="3">
        <v>0</v>
      </c>
      <c r="Z33" s="3">
        <v>0</v>
      </c>
      <c r="AA33" s="3">
        <v>0</v>
      </c>
      <c r="AB33" s="3">
        <v>0</v>
      </c>
      <c r="AC33" s="3">
        <v>0</v>
      </c>
      <c r="AD33" s="3">
        <v>0.92540792540792505</v>
      </c>
      <c r="AE33" s="3">
        <v>6.2937062937062901E-2</v>
      </c>
      <c r="AF33" s="3">
        <v>1.1655011655011699E-2</v>
      </c>
      <c r="AG33" s="3">
        <v>0</v>
      </c>
      <c r="AH33" s="3">
        <v>0</v>
      </c>
      <c r="AI33" s="3">
        <v>0</v>
      </c>
      <c r="AJ33" s="3">
        <v>0.95687645687645695</v>
      </c>
      <c r="AK33" s="3">
        <v>0</v>
      </c>
      <c r="AL33" s="3">
        <v>4.31235431235431E-2</v>
      </c>
      <c r="AM33" s="3">
        <v>0</v>
      </c>
      <c r="AN33" s="3">
        <v>1.84</v>
      </c>
      <c r="AO33" s="3">
        <v>2.3222222222222202</v>
      </c>
      <c r="AP33" s="3">
        <v>3.0987244897959201</v>
      </c>
      <c r="AQ33" s="3"/>
      <c r="AR33" s="3"/>
      <c r="AS33" s="3"/>
      <c r="AT33" s="3"/>
      <c r="AU33" s="3"/>
      <c r="AV33" s="3"/>
      <c r="AW33" s="6"/>
      <c r="AX33" s="6"/>
    </row>
    <row r="34" spans="1:50" x14ac:dyDescent="0.2">
      <c r="A34" s="3" t="s">
        <v>251</v>
      </c>
      <c r="B34" s="3" t="s">
        <v>198</v>
      </c>
      <c r="C34" s="3">
        <v>543093563</v>
      </c>
      <c r="D34" s="3" t="s">
        <v>71</v>
      </c>
      <c r="E34" s="3" t="s">
        <v>45</v>
      </c>
      <c r="F34" s="3" t="s">
        <v>59</v>
      </c>
      <c r="G34" s="3" t="s">
        <v>59</v>
      </c>
      <c r="H34" s="3" t="s">
        <v>86</v>
      </c>
      <c r="I34" s="3" t="s">
        <v>181</v>
      </c>
      <c r="J34" s="20" t="s">
        <v>252</v>
      </c>
      <c r="K34" s="3">
        <v>3.53773584905659E-3</v>
      </c>
      <c r="L34" s="3">
        <v>424</v>
      </c>
      <c r="M34" s="3">
        <v>-10.8937810925823</v>
      </c>
      <c r="N34" s="20" t="s">
        <v>253</v>
      </c>
      <c r="O34" s="3">
        <v>0</v>
      </c>
      <c r="P34" s="3">
        <v>0</v>
      </c>
      <c r="Q34" s="3">
        <v>0</v>
      </c>
      <c r="R34" s="3">
        <v>0</v>
      </c>
      <c r="S34" s="3">
        <v>0</v>
      </c>
      <c r="T34" s="3">
        <v>362</v>
      </c>
      <c r="U34" s="3">
        <v>7</v>
      </c>
      <c r="V34" s="3">
        <v>0</v>
      </c>
      <c r="W34" s="3">
        <v>60</v>
      </c>
      <c r="X34" s="3">
        <v>0</v>
      </c>
      <c r="Y34" s="3">
        <v>0</v>
      </c>
      <c r="Z34" s="3">
        <v>0.13986013986014001</v>
      </c>
      <c r="AA34" s="3">
        <v>0.843822843822844</v>
      </c>
      <c r="AB34" s="3">
        <v>1.6317016317016299E-2</v>
      </c>
      <c r="AC34" s="3">
        <v>0</v>
      </c>
      <c r="AD34" s="3">
        <v>0</v>
      </c>
      <c r="AE34" s="3">
        <v>0</v>
      </c>
      <c r="AF34" s="3">
        <v>0</v>
      </c>
      <c r="AG34" s="3">
        <v>0</v>
      </c>
      <c r="AH34" s="3">
        <v>0</v>
      </c>
      <c r="AI34" s="3">
        <v>0</v>
      </c>
      <c r="AJ34" s="3">
        <v>0</v>
      </c>
      <c r="AK34" s="3">
        <v>8.6247086247086296E-2</v>
      </c>
      <c r="AL34" s="3">
        <v>0</v>
      </c>
      <c r="AM34" s="3">
        <v>0.91375291375291401</v>
      </c>
      <c r="AN34" s="3">
        <v>3.71428571428571</v>
      </c>
      <c r="AO34" s="3">
        <v>2.5</v>
      </c>
      <c r="AP34" s="3">
        <v>3.1092178770949701</v>
      </c>
      <c r="AQ34" s="3" t="s">
        <v>642</v>
      </c>
      <c r="AR34" s="3" t="s">
        <v>643</v>
      </c>
      <c r="AS34" s="3" t="s">
        <v>913</v>
      </c>
      <c r="AT34" s="3"/>
      <c r="AU34" s="3"/>
      <c r="AV34" s="3"/>
      <c r="AW34" s="6"/>
      <c r="AX34" s="6"/>
    </row>
    <row r="35" spans="1:50" x14ac:dyDescent="0.2">
      <c r="A35" s="3" t="s">
        <v>292</v>
      </c>
      <c r="B35" s="3" t="s">
        <v>90</v>
      </c>
      <c r="C35" s="3">
        <v>535136401</v>
      </c>
      <c r="D35" s="3" t="s">
        <v>52</v>
      </c>
      <c r="E35" s="3" t="s">
        <v>46</v>
      </c>
      <c r="F35" s="3" t="s">
        <v>53</v>
      </c>
      <c r="G35" s="3" t="s">
        <v>53</v>
      </c>
      <c r="H35" s="3" t="s">
        <v>86</v>
      </c>
      <c r="I35" s="3" t="s">
        <v>259</v>
      </c>
      <c r="J35" s="20" t="s">
        <v>293</v>
      </c>
      <c r="K35" s="3">
        <v>3.3333333333333002E-3</v>
      </c>
      <c r="L35" s="3">
        <v>300</v>
      </c>
      <c r="M35" s="3">
        <v>-4.0109163319922096</v>
      </c>
      <c r="N35" s="20" t="s">
        <v>294</v>
      </c>
      <c r="O35" s="3">
        <v>11.038289367185</v>
      </c>
      <c r="P35" s="3">
        <v>383</v>
      </c>
      <c r="Q35" s="3">
        <v>40</v>
      </c>
      <c r="R35" s="3">
        <v>6</v>
      </c>
      <c r="S35" s="3">
        <v>0</v>
      </c>
      <c r="T35" s="3">
        <v>0</v>
      </c>
      <c r="U35" s="3">
        <v>0</v>
      </c>
      <c r="V35" s="3">
        <v>0</v>
      </c>
      <c r="W35" s="3">
        <v>0</v>
      </c>
      <c r="X35" s="3">
        <v>0</v>
      </c>
      <c r="Y35" s="3">
        <v>0</v>
      </c>
      <c r="Z35" s="3">
        <v>0</v>
      </c>
      <c r="AA35" s="3">
        <v>0</v>
      </c>
      <c r="AB35" s="3">
        <v>0</v>
      </c>
      <c r="AC35" s="3">
        <v>0</v>
      </c>
      <c r="AD35" s="3">
        <v>1.3986013986014E-2</v>
      </c>
      <c r="AE35" s="3">
        <v>9.3240093240093205E-2</v>
      </c>
      <c r="AF35" s="3">
        <v>0.89277389277389296</v>
      </c>
      <c r="AG35" s="3">
        <v>0</v>
      </c>
      <c r="AH35" s="3">
        <v>0</v>
      </c>
      <c r="AI35" s="3">
        <v>0</v>
      </c>
      <c r="AJ35" s="3">
        <v>6.0606060606060601E-2</v>
      </c>
      <c r="AK35" s="3">
        <v>0</v>
      </c>
      <c r="AL35" s="3">
        <v>0.939393939393939</v>
      </c>
      <c r="AM35" s="3">
        <v>0</v>
      </c>
      <c r="AN35" s="3">
        <v>0.22500000000000001</v>
      </c>
      <c r="AO35" s="3">
        <v>9.1999999999999998E-2</v>
      </c>
      <c r="AP35" s="3">
        <v>0.26937269372693701</v>
      </c>
      <c r="AQ35" s="3" t="s">
        <v>914</v>
      </c>
      <c r="AR35" s="3"/>
      <c r="AS35" s="3" t="s">
        <v>635</v>
      </c>
      <c r="AT35" s="3" t="s">
        <v>636</v>
      </c>
      <c r="AU35" s="4">
        <v>1</v>
      </c>
      <c r="AV35" s="5">
        <v>0.97509999999999997</v>
      </c>
      <c r="AW35" s="6"/>
      <c r="AX35" s="6"/>
    </row>
    <row r="36" spans="1:50" x14ac:dyDescent="0.2">
      <c r="A36" s="3" t="s">
        <v>295</v>
      </c>
      <c r="B36" s="3" t="s">
        <v>57</v>
      </c>
      <c r="C36" s="3">
        <v>111371772</v>
      </c>
      <c r="D36" s="3" t="s">
        <v>58</v>
      </c>
      <c r="E36" s="3" t="s">
        <v>46</v>
      </c>
      <c r="F36" s="3" t="s">
        <v>59</v>
      </c>
      <c r="G36" s="3" t="s">
        <v>59</v>
      </c>
      <c r="H36" s="3" t="s">
        <v>86</v>
      </c>
      <c r="I36" s="3" t="s">
        <v>259</v>
      </c>
      <c r="J36" s="20" t="s">
        <v>296</v>
      </c>
      <c r="K36" s="3">
        <v>3.3333333333333002E-3</v>
      </c>
      <c r="L36" s="3">
        <v>300</v>
      </c>
      <c r="M36" s="3">
        <v>-3.2275947819748998</v>
      </c>
      <c r="N36" s="20" t="s">
        <v>297</v>
      </c>
      <c r="O36" s="3">
        <v>1.0364651861024801</v>
      </c>
      <c r="P36" s="3">
        <v>336</v>
      </c>
      <c r="Q36" s="3">
        <v>0</v>
      </c>
      <c r="R36" s="3">
        <v>0</v>
      </c>
      <c r="S36" s="3">
        <v>0</v>
      </c>
      <c r="T36" s="3">
        <v>0</v>
      </c>
      <c r="U36" s="3">
        <v>0</v>
      </c>
      <c r="V36" s="3">
        <v>93</v>
      </c>
      <c r="W36" s="3">
        <v>0</v>
      </c>
      <c r="X36" s="3">
        <v>0</v>
      </c>
      <c r="Y36" s="3">
        <v>0</v>
      </c>
      <c r="Z36" s="3">
        <v>0</v>
      </c>
      <c r="AA36" s="3">
        <v>0</v>
      </c>
      <c r="AB36" s="3">
        <v>0</v>
      </c>
      <c r="AC36" s="3">
        <v>0</v>
      </c>
      <c r="AD36" s="3">
        <v>0</v>
      </c>
      <c r="AE36" s="3">
        <v>0</v>
      </c>
      <c r="AF36" s="3">
        <v>0.78321678321678301</v>
      </c>
      <c r="AG36" s="3">
        <v>0</v>
      </c>
      <c r="AH36" s="3">
        <v>0</v>
      </c>
      <c r="AI36" s="3">
        <v>0.21678321678321699</v>
      </c>
      <c r="AJ36" s="3">
        <v>0</v>
      </c>
      <c r="AK36" s="3">
        <v>0.108391608391608</v>
      </c>
      <c r="AL36" s="3">
        <v>0.891608391608392</v>
      </c>
      <c r="AM36" s="3">
        <v>0</v>
      </c>
      <c r="AN36" s="3" t="s">
        <v>55</v>
      </c>
      <c r="AO36" s="3">
        <v>0.46617647058823503</v>
      </c>
      <c r="AP36" s="3">
        <v>0.19181034482758599</v>
      </c>
      <c r="AQ36" s="3"/>
      <c r="AR36" s="3"/>
      <c r="AS36" s="3"/>
      <c r="AT36" s="3"/>
      <c r="AU36" s="3"/>
      <c r="AV36" s="3"/>
      <c r="AW36" s="6"/>
      <c r="AX36" s="6"/>
    </row>
    <row r="37" spans="1:50" x14ac:dyDescent="0.2">
      <c r="A37" s="3" t="s">
        <v>298</v>
      </c>
      <c r="B37" s="3" t="s">
        <v>57</v>
      </c>
      <c r="C37" s="3">
        <v>23619855</v>
      </c>
      <c r="D37" s="3" t="s">
        <v>156</v>
      </c>
      <c r="E37" s="3" t="s">
        <v>59</v>
      </c>
      <c r="F37" s="3" t="s">
        <v>53</v>
      </c>
      <c r="G37" s="3" t="s">
        <v>53</v>
      </c>
      <c r="H37" s="3" t="s">
        <v>86</v>
      </c>
      <c r="I37" s="3" t="s">
        <v>259</v>
      </c>
      <c r="J37" s="20" t="s">
        <v>299</v>
      </c>
      <c r="K37" s="3">
        <v>1.6666666666667E-3</v>
      </c>
      <c r="L37" s="3">
        <v>300</v>
      </c>
      <c r="M37" s="3">
        <v>-2.2873355150074701</v>
      </c>
      <c r="N37" s="20" t="s">
        <v>300</v>
      </c>
      <c r="O37" s="3">
        <v>0</v>
      </c>
      <c r="P37" s="3">
        <v>0</v>
      </c>
      <c r="Q37" s="3">
        <v>0</v>
      </c>
      <c r="R37" s="3">
        <v>34</v>
      </c>
      <c r="S37" s="3">
        <v>0</v>
      </c>
      <c r="T37" s="3">
        <v>0</v>
      </c>
      <c r="U37" s="3">
        <v>173</v>
      </c>
      <c r="V37" s="3">
        <v>0</v>
      </c>
      <c r="W37" s="3">
        <v>0</v>
      </c>
      <c r="X37" s="3">
        <v>222</v>
      </c>
      <c r="Y37" s="3">
        <v>0</v>
      </c>
      <c r="Z37" s="3">
        <v>0</v>
      </c>
      <c r="AA37" s="3">
        <v>0</v>
      </c>
      <c r="AB37" s="3">
        <v>0.40326340326340299</v>
      </c>
      <c r="AC37" s="3">
        <v>0.51748251748251795</v>
      </c>
      <c r="AD37" s="3">
        <v>7.9254079254079193E-2</v>
      </c>
      <c r="AE37" s="3">
        <v>0</v>
      </c>
      <c r="AF37" s="3">
        <v>0</v>
      </c>
      <c r="AG37" s="3">
        <v>0</v>
      </c>
      <c r="AH37" s="3">
        <v>0</v>
      </c>
      <c r="AI37" s="3">
        <v>0</v>
      </c>
      <c r="AJ37" s="3">
        <v>0.33799533799533799</v>
      </c>
      <c r="AK37" s="3">
        <v>0.66200466200466201</v>
      </c>
      <c r="AL37" s="3">
        <v>0</v>
      </c>
      <c r="AM37" s="3">
        <v>0</v>
      </c>
      <c r="AN37" s="3">
        <v>0.2</v>
      </c>
      <c r="AO37" s="3">
        <v>0.26078431372548999</v>
      </c>
      <c r="AP37" s="3">
        <v>0.25655737704918002</v>
      </c>
      <c r="AQ37" s="3"/>
      <c r="AR37" s="3"/>
      <c r="AS37" s="3"/>
      <c r="AT37" s="3"/>
      <c r="AU37" s="3"/>
      <c r="AV37" s="3"/>
      <c r="AW37" s="6"/>
      <c r="AX37" s="6"/>
    </row>
    <row r="38" spans="1:50" x14ac:dyDescent="0.2">
      <c r="A38" s="3" t="s">
        <v>301</v>
      </c>
      <c r="B38" s="3" t="s">
        <v>152</v>
      </c>
      <c r="C38" s="3">
        <v>537457347</v>
      </c>
      <c r="D38" s="3" t="s">
        <v>260</v>
      </c>
      <c r="E38" s="3" t="s">
        <v>53</v>
      </c>
      <c r="F38" s="3" t="s">
        <v>59</v>
      </c>
      <c r="G38" s="3" t="s">
        <v>59</v>
      </c>
      <c r="H38" s="3" t="s">
        <v>86</v>
      </c>
      <c r="I38" s="3" t="s">
        <v>259</v>
      </c>
      <c r="J38" s="20" t="s">
        <v>302</v>
      </c>
      <c r="K38" s="3">
        <v>5.0000000000000001E-3</v>
      </c>
      <c r="L38" s="3">
        <v>300</v>
      </c>
      <c r="M38" s="3">
        <v>-1.18532146146503</v>
      </c>
      <c r="N38" s="20" t="s">
        <v>303</v>
      </c>
      <c r="O38" s="3">
        <v>0</v>
      </c>
      <c r="P38" s="3">
        <v>0</v>
      </c>
      <c r="Q38" s="3">
        <v>0</v>
      </c>
      <c r="R38" s="3">
        <v>354</v>
      </c>
      <c r="S38" s="3">
        <v>0</v>
      </c>
      <c r="T38" s="3">
        <v>0</v>
      </c>
      <c r="U38" s="3">
        <v>8</v>
      </c>
      <c r="V38" s="3">
        <v>0</v>
      </c>
      <c r="W38" s="3">
        <v>0</v>
      </c>
      <c r="X38" s="3">
        <v>67</v>
      </c>
      <c r="Y38" s="3">
        <v>0</v>
      </c>
      <c r="Z38" s="3">
        <v>0</v>
      </c>
      <c r="AA38" s="3">
        <v>0</v>
      </c>
      <c r="AB38" s="3">
        <v>1.8648018648018599E-2</v>
      </c>
      <c r="AC38" s="3">
        <v>0.156177156177156</v>
      </c>
      <c r="AD38" s="3">
        <v>0.82517482517482499</v>
      </c>
      <c r="AE38" s="3">
        <v>0</v>
      </c>
      <c r="AF38" s="3">
        <v>0</v>
      </c>
      <c r="AG38" s="3">
        <v>0</v>
      </c>
      <c r="AH38" s="3">
        <v>0</v>
      </c>
      <c r="AI38" s="3">
        <v>0</v>
      </c>
      <c r="AJ38" s="3">
        <v>0.90326340326340304</v>
      </c>
      <c r="AK38" s="3">
        <v>9.6736596736596694E-2</v>
      </c>
      <c r="AL38" s="3">
        <v>0</v>
      </c>
      <c r="AM38" s="3">
        <v>0</v>
      </c>
      <c r="AN38" s="3">
        <v>3.3333333333333298E-2</v>
      </c>
      <c r="AO38" s="3">
        <v>0.246153846153846</v>
      </c>
      <c r="AP38" s="3">
        <v>0.25775193798449603</v>
      </c>
      <c r="AQ38" s="3"/>
      <c r="AR38" s="3"/>
      <c r="AS38" s="3"/>
      <c r="AT38" s="3"/>
      <c r="AU38" s="3"/>
      <c r="AV38" s="3"/>
      <c r="AW38" s="6"/>
      <c r="AX38" s="6"/>
    </row>
    <row r="39" spans="1:50" ht="70" x14ac:dyDescent="0.2">
      <c r="A39" s="3" t="s">
        <v>304</v>
      </c>
      <c r="B39" s="3" t="s">
        <v>160</v>
      </c>
      <c r="C39" s="3">
        <v>289224236</v>
      </c>
      <c r="D39" s="3" t="s">
        <v>156</v>
      </c>
      <c r="E39" s="3" t="s">
        <v>59</v>
      </c>
      <c r="F39" s="3" t="s">
        <v>53</v>
      </c>
      <c r="G39" s="3" t="s">
        <v>53</v>
      </c>
      <c r="H39" s="3" t="s">
        <v>86</v>
      </c>
      <c r="I39" s="3" t="s">
        <v>259</v>
      </c>
      <c r="J39" s="20" t="s">
        <v>305</v>
      </c>
      <c r="K39" s="3">
        <v>7.6666666666666702E-2</v>
      </c>
      <c r="L39" s="3">
        <v>300</v>
      </c>
      <c r="M39" s="3">
        <v>-0.22184509971393301</v>
      </c>
      <c r="N39" s="3">
        <v>3.0158809675939098E-3</v>
      </c>
      <c r="O39" s="3">
        <v>6.9786049396538896</v>
      </c>
      <c r="P39" s="3">
        <v>0</v>
      </c>
      <c r="Q39" s="3">
        <v>0</v>
      </c>
      <c r="R39" s="3">
        <v>50</v>
      </c>
      <c r="S39" s="3">
        <v>0</v>
      </c>
      <c r="T39" s="3">
        <v>0</v>
      </c>
      <c r="U39" s="3">
        <v>214</v>
      </c>
      <c r="V39" s="3">
        <v>0</v>
      </c>
      <c r="W39" s="3">
        <v>0</v>
      </c>
      <c r="X39" s="3">
        <v>165</v>
      </c>
      <c r="Y39" s="3">
        <v>0</v>
      </c>
      <c r="Z39" s="3">
        <v>0</v>
      </c>
      <c r="AA39" s="3">
        <v>0</v>
      </c>
      <c r="AB39" s="3">
        <v>0.49883449883449898</v>
      </c>
      <c r="AC39" s="3">
        <v>0.38461538461538503</v>
      </c>
      <c r="AD39" s="3">
        <v>0.116550116550117</v>
      </c>
      <c r="AE39" s="3">
        <v>0</v>
      </c>
      <c r="AF39" s="3">
        <v>0</v>
      </c>
      <c r="AG39" s="3">
        <v>0</v>
      </c>
      <c r="AH39" s="3">
        <v>0</v>
      </c>
      <c r="AI39" s="3">
        <v>0</v>
      </c>
      <c r="AJ39" s="3">
        <v>0.308857808857809</v>
      </c>
      <c r="AK39" s="3">
        <v>0.691142191142191</v>
      </c>
      <c r="AL39" s="3">
        <v>0</v>
      </c>
      <c r="AM39" s="3">
        <v>0</v>
      </c>
      <c r="AN39" s="3">
        <v>0.60789473684210504</v>
      </c>
      <c r="AO39" s="3">
        <v>0.205172413793103</v>
      </c>
      <c r="AP39" s="3">
        <v>0.20068493150684899</v>
      </c>
      <c r="AQ39" s="3" t="s">
        <v>666</v>
      </c>
      <c r="AR39" s="3" t="s">
        <v>667</v>
      </c>
      <c r="AS39" s="3" t="s">
        <v>913</v>
      </c>
      <c r="AT39" s="3"/>
      <c r="AU39" s="3"/>
      <c r="AV39" s="3"/>
      <c r="AW39" s="10" t="s">
        <v>668</v>
      </c>
      <c r="AX39" s="6" t="s">
        <v>669</v>
      </c>
    </row>
    <row r="40" spans="1:50" x14ac:dyDescent="0.2">
      <c r="A40" s="3" t="s">
        <v>306</v>
      </c>
      <c r="B40" s="3" t="s">
        <v>97</v>
      </c>
      <c r="C40" s="3">
        <v>105621999</v>
      </c>
      <c r="D40" s="3" t="s">
        <v>109</v>
      </c>
      <c r="E40" s="3" t="s">
        <v>45</v>
      </c>
      <c r="F40" s="3" t="s">
        <v>59</v>
      </c>
      <c r="G40" s="3" t="s">
        <v>59</v>
      </c>
      <c r="H40" s="3" t="s">
        <v>86</v>
      </c>
      <c r="I40" s="3" t="s">
        <v>259</v>
      </c>
      <c r="J40" s="20" t="s">
        <v>307</v>
      </c>
      <c r="K40" s="3">
        <v>5.0000000000000001E-3</v>
      </c>
      <c r="L40" s="3">
        <v>300</v>
      </c>
      <c r="M40" s="3">
        <v>3.4418539769437499</v>
      </c>
      <c r="N40" s="20" t="s">
        <v>308</v>
      </c>
      <c r="O40" s="3">
        <v>0</v>
      </c>
      <c r="P40" s="3">
        <v>0</v>
      </c>
      <c r="Q40" s="3">
        <v>0</v>
      </c>
      <c r="R40" s="3">
        <v>0</v>
      </c>
      <c r="S40" s="3">
        <v>0</v>
      </c>
      <c r="T40" s="3">
        <v>154</v>
      </c>
      <c r="U40" s="3">
        <v>106</v>
      </c>
      <c r="V40" s="3">
        <v>0</v>
      </c>
      <c r="W40" s="3">
        <v>169</v>
      </c>
      <c r="X40" s="3">
        <v>0</v>
      </c>
      <c r="Y40" s="3">
        <v>0</v>
      </c>
      <c r="Z40" s="3">
        <v>0.39393939393939398</v>
      </c>
      <c r="AA40" s="3">
        <v>0.35897435897435898</v>
      </c>
      <c r="AB40" s="3">
        <v>0.24708624708624699</v>
      </c>
      <c r="AC40" s="3">
        <v>0</v>
      </c>
      <c r="AD40" s="3">
        <v>0</v>
      </c>
      <c r="AE40" s="3">
        <v>0</v>
      </c>
      <c r="AF40" s="3">
        <v>0</v>
      </c>
      <c r="AG40" s="3">
        <v>0</v>
      </c>
      <c r="AH40" s="3">
        <v>0</v>
      </c>
      <c r="AI40" s="3">
        <v>0</v>
      </c>
      <c r="AJ40" s="3">
        <v>0</v>
      </c>
      <c r="AK40" s="3">
        <v>0.44405594405594401</v>
      </c>
      <c r="AL40" s="3">
        <v>0</v>
      </c>
      <c r="AM40" s="3">
        <v>0.55594405594405605</v>
      </c>
      <c r="AN40" s="3">
        <v>0.29734513274336299</v>
      </c>
      <c r="AO40" s="3">
        <v>0.254782608695652</v>
      </c>
      <c r="AP40" s="3">
        <v>0.18472222222222201</v>
      </c>
      <c r="AQ40" s="3"/>
      <c r="AR40" s="3"/>
      <c r="AS40" s="3"/>
      <c r="AT40" s="3"/>
      <c r="AU40" s="3"/>
      <c r="AV40" s="3"/>
      <c r="AW40" s="6"/>
      <c r="AX40" s="6"/>
    </row>
    <row r="41" spans="1:50" x14ac:dyDescent="0.2">
      <c r="A41" s="3" t="s">
        <v>309</v>
      </c>
      <c r="B41" s="3" t="s">
        <v>100</v>
      </c>
      <c r="C41" s="3">
        <v>151631442</v>
      </c>
      <c r="D41" s="3" t="s">
        <v>109</v>
      </c>
      <c r="E41" s="3" t="s">
        <v>45</v>
      </c>
      <c r="F41" s="3" t="s">
        <v>59</v>
      </c>
      <c r="G41" s="3" t="s">
        <v>45</v>
      </c>
      <c r="H41" s="3" t="s">
        <v>86</v>
      </c>
      <c r="I41" s="3" t="s">
        <v>259</v>
      </c>
      <c r="J41" s="20" t="s">
        <v>310</v>
      </c>
      <c r="K41" s="3">
        <v>1.6666666666667E-3</v>
      </c>
      <c r="L41" s="3">
        <v>300</v>
      </c>
      <c r="M41" s="3">
        <v>-3.30052391719614</v>
      </c>
      <c r="N41" s="20" t="s">
        <v>311</v>
      </c>
      <c r="O41" s="3">
        <v>0</v>
      </c>
      <c r="P41" s="3">
        <v>0</v>
      </c>
      <c r="Q41" s="3">
        <v>0</v>
      </c>
      <c r="R41" s="3">
        <v>0</v>
      </c>
      <c r="S41" s="3">
        <v>0</v>
      </c>
      <c r="T41" s="3">
        <v>51</v>
      </c>
      <c r="U41" s="3">
        <v>240</v>
      </c>
      <c r="V41" s="3">
        <v>0</v>
      </c>
      <c r="W41" s="3">
        <v>138</v>
      </c>
      <c r="X41" s="3">
        <v>0</v>
      </c>
      <c r="Y41" s="3">
        <v>0</v>
      </c>
      <c r="Z41" s="3">
        <v>0.321678321678322</v>
      </c>
      <c r="AA41" s="3">
        <v>0.11888111888111901</v>
      </c>
      <c r="AB41" s="3">
        <v>0.55944055944056004</v>
      </c>
      <c r="AC41" s="3">
        <v>0</v>
      </c>
      <c r="AD41" s="3">
        <v>0</v>
      </c>
      <c r="AE41" s="3">
        <v>0</v>
      </c>
      <c r="AF41" s="3">
        <v>0</v>
      </c>
      <c r="AG41" s="3">
        <v>0</v>
      </c>
      <c r="AH41" s="3">
        <v>0</v>
      </c>
      <c r="AI41" s="3">
        <v>0</v>
      </c>
      <c r="AJ41" s="3">
        <v>0</v>
      </c>
      <c r="AK41" s="3">
        <v>0.72027972027971998</v>
      </c>
      <c r="AL41" s="3">
        <v>0</v>
      </c>
      <c r="AM41" s="3">
        <v>0.27972027972028002</v>
      </c>
      <c r="AN41" s="3">
        <v>0.22368421052631601</v>
      </c>
      <c r="AO41" s="3">
        <v>0.241237113402062</v>
      </c>
      <c r="AP41" s="3">
        <v>0.26848484848484799</v>
      </c>
      <c r="AQ41" s="3"/>
      <c r="AR41" s="3"/>
      <c r="AS41" s="3"/>
      <c r="AT41" s="3"/>
      <c r="AU41" s="3"/>
      <c r="AV41" s="3"/>
      <c r="AW41" s="6"/>
      <c r="AX41" s="6"/>
    </row>
    <row r="42" spans="1:50" x14ac:dyDescent="0.2">
      <c r="A42" s="3" t="s">
        <v>312</v>
      </c>
      <c r="B42" s="3" t="s">
        <v>105</v>
      </c>
      <c r="C42" s="3">
        <v>329485557</v>
      </c>
      <c r="D42" s="3" t="s">
        <v>44</v>
      </c>
      <c r="E42" s="3" t="s">
        <v>45</v>
      </c>
      <c r="F42" s="3" t="s">
        <v>46</v>
      </c>
      <c r="G42" s="3" t="s">
        <v>46</v>
      </c>
      <c r="H42" s="3" t="s">
        <v>86</v>
      </c>
      <c r="I42" s="3" t="s">
        <v>259</v>
      </c>
      <c r="J42" s="20" t="s">
        <v>313</v>
      </c>
      <c r="K42" s="3">
        <v>0.13666666666666699</v>
      </c>
      <c r="L42" s="3">
        <v>300</v>
      </c>
      <c r="M42" s="3">
        <v>-0.174552535398911</v>
      </c>
      <c r="N42" s="3">
        <v>2.0320924937227401E-4</v>
      </c>
      <c r="O42" s="3">
        <v>0</v>
      </c>
      <c r="P42" s="3">
        <v>14</v>
      </c>
      <c r="Q42" s="3">
        <v>0</v>
      </c>
      <c r="R42" s="3">
        <v>0</v>
      </c>
      <c r="S42" s="3">
        <v>64</v>
      </c>
      <c r="T42" s="3">
        <v>351</v>
      </c>
      <c r="U42" s="3">
        <v>0</v>
      </c>
      <c r="V42" s="3">
        <v>0</v>
      </c>
      <c r="W42" s="3">
        <v>0</v>
      </c>
      <c r="X42" s="3">
        <v>0</v>
      </c>
      <c r="Y42" s="3">
        <v>0</v>
      </c>
      <c r="Z42" s="3">
        <v>0</v>
      </c>
      <c r="AA42" s="3">
        <v>0.81818181818181801</v>
      </c>
      <c r="AB42" s="3">
        <v>0</v>
      </c>
      <c r="AC42" s="3">
        <v>0</v>
      </c>
      <c r="AD42" s="3">
        <v>0</v>
      </c>
      <c r="AE42" s="3">
        <v>0</v>
      </c>
      <c r="AF42" s="3">
        <v>3.2634032634032598E-2</v>
      </c>
      <c r="AG42" s="3">
        <v>0.14918414918414899</v>
      </c>
      <c r="AH42" s="3">
        <v>0</v>
      </c>
      <c r="AI42" s="3">
        <v>0</v>
      </c>
      <c r="AJ42" s="3">
        <v>0</v>
      </c>
      <c r="AK42" s="3">
        <v>0</v>
      </c>
      <c r="AL42" s="3">
        <v>0.107226107226107</v>
      </c>
      <c r="AM42" s="3">
        <v>0.89277389277389296</v>
      </c>
      <c r="AN42" s="3">
        <v>0.1875</v>
      </c>
      <c r="AO42" s="3">
        <v>0.180952380952381</v>
      </c>
      <c r="AP42" s="3">
        <v>0.26840000000000003</v>
      </c>
      <c r="AQ42" s="3"/>
      <c r="AR42" s="3"/>
      <c r="AS42" s="3"/>
      <c r="AT42" s="3"/>
      <c r="AU42" s="3"/>
      <c r="AV42" s="3"/>
      <c r="AW42" s="6"/>
      <c r="AX42" s="6"/>
    </row>
    <row r="43" spans="1:50" ht="56" x14ac:dyDescent="0.2">
      <c r="A43" s="3" t="s">
        <v>104</v>
      </c>
      <c r="B43" s="3" t="s">
        <v>105</v>
      </c>
      <c r="C43" s="3">
        <v>83112789</v>
      </c>
      <c r="D43" s="3" t="s">
        <v>71</v>
      </c>
      <c r="E43" s="3" t="s">
        <v>45</v>
      </c>
      <c r="F43" s="3" t="s">
        <v>59</v>
      </c>
      <c r="G43" s="3" t="s">
        <v>59</v>
      </c>
      <c r="H43" s="3" t="s">
        <v>86</v>
      </c>
      <c r="I43" s="3" t="s">
        <v>259</v>
      </c>
      <c r="J43" s="20" t="s">
        <v>314</v>
      </c>
      <c r="K43" s="3">
        <v>1.6666666666667E-3</v>
      </c>
      <c r="L43" s="3">
        <v>300</v>
      </c>
      <c r="M43" s="3">
        <v>-3.7863611905836501</v>
      </c>
      <c r="N43" s="20" t="s">
        <v>315</v>
      </c>
      <c r="O43" s="3">
        <v>0</v>
      </c>
      <c r="P43" s="3">
        <v>0</v>
      </c>
      <c r="Q43" s="3">
        <v>0</v>
      </c>
      <c r="R43" s="3">
        <v>0</v>
      </c>
      <c r="S43" s="3">
        <v>0</v>
      </c>
      <c r="T43" s="3">
        <v>410</v>
      </c>
      <c r="U43" s="3">
        <v>0</v>
      </c>
      <c r="V43" s="3">
        <v>0</v>
      </c>
      <c r="W43" s="3">
        <v>19</v>
      </c>
      <c r="X43" s="3">
        <v>0</v>
      </c>
      <c r="Y43" s="3">
        <v>0</v>
      </c>
      <c r="Z43" s="3">
        <v>4.4289044289044302E-2</v>
      </c>
      <c r="AA43" s="3">
        <v>0.95571095571095599</v>
      </c>
      <c r="AB43" s="3">
        <v>0</v>
      </c>
      <c r="AC43" s="3">
        <v>0</v>
      </c>
      <c r="AD43" s="3">
        <v>0</v>
      </c>
      <c r="AE43" s="3">
        <v>0</v>
      </c>
      <c r="AF43" s="3">
        <v>0</v>
      </c>
      <c r="AG43" s="3">
        <v>0</v>
      </c>
      <c r="AH43" s="3">
        <v>0</v>
      </c>
      <c r="AI43" s="3">
        <v>0</v>
      </c>
      <c r="AJ43" s="3">
        <v>0</v>
      </c>
      <c r="AK43" s="3">
        <v>2.2144522144522099E-2</v>
      </c>
      <c r="AL43" s="3">
        <v>0</v>
      </c>
      <c r="AM43" s="3">
        <v>0.97785547785547799</v>
      </c>
      <c r="AN43" s="3" t="s">
        <v>55</v>
      </c>
      <c r="AO43" s="3">
        <v>0.04</v>
      </c>
      <c r="AP43" s="3">
        <v>0.26526315789473698</v>
      </c>
      <c r="AQ43" s="3" t="s">
        <v>659</v>
      </c>
      <c r="AR43" s="3" t="s">
        <v>660</v>
      </c>
      <c r="AS43" s="3" t="s">
        <v>913</v>
      </c>
      <c r="AT43" s="3"/>
      <c r="AU43" s="3"/>
      <c r="AV43" s="3"/>
      <c r="AW43" s="8" t="s">
        <v>661</v>
      </c>
      <c r="AX43" s="6" t="s">
        <v>662</v>
      </c>
    </row>
    <row r="44" spans="1:50" x14ac:dyDescent="0.2">
      <c r="A44" s="3" t="s">
        <v>316</v>
      </c>
      <c r="B44" s="3" t="s">
        <v>113</v>
      </c>
      <c r="C44" s="3">
        <v>202019831</v>
      </c>
      <c r="D44" s="3" t="s">
        <v>67</v>
      </c>
      <c r="E44" s="3" t="s">
        <v>46</v>
      </c>
      <c r="F44" s="3" t="s">
        <v>53</v>
      </c>
      <c r="G44" s="3" t="s">
        <v>46</v>
      </c>
      <c r="H44" s="3" t="s">
        <v>86</v>
      </c>
      <c r="I44" s="3" t="s">
        <v>259</v>
      </c>
      <c r="J44" s="20" t="s">
        <v>317</v>
      </c>
      <c r="K44" s="3">
        <v>1.6666666666667E-3</v>
      </c>
      <c r="L44" s="3">
        <v>300</v>
      </c>
      <c r="M44" s="3">
        <v>-4.15834118533793</v>
      </c>
      <c r="N44" s="20" t="s">
        <v>318</v>
      </c>
      <c r="O44" s="3">
        <v>0</v>
      </c>
      <c r="P44" s="3">
        <v>17</v>
      </c>
      <c r="Q44" s="3">
        <v>98</v>
      </c>
      <c r="R44" s="3">
        <v>314</v>
      </c>
      <c r="S44" s="3">
        <v>0</v>
      </c>
      <c r="T44" s="3">
        <v>0</v>
      </c>
      <c r="U44" s="3">
        <v>0</v>
      </c>
      <c r="V44" s="3">
        <v>0</v>
      </c>
      <c r="W44" s="3">
        <v>0</v>
      </c>
      <c r="X44" s="3">
        <v>0</v>
      </c>
      <c r="Y44" s="3">
        <v>0</v>
      </c>
      <c r="Z44" s="3">
        <v>0</v>
      </c>
      <c r="AA44" s="3">
        <v>0</v>
      </c>
      <c r="AB44" s="3">
        <v>0</v>
      </c>
      <c r="AC44" s="3">
        <v>0</v>
      </c>
      <c r="AD44" s="3">
        <v>0.73193473193473202</v>
      </c>
      <c r="AE44" s="3">
        <v>0.228438228438228</v>
      </c>
      <c r="AF44" s="3">
        <v>3.9627039627039597E-2</v>
      </c>
      <c r="AG44" s="3">
        <v>0</v>
      </c>
      <c r="AH44" s="3">
        <v>0</v>
      </c>
      <c r="AI44" s="3">
        <v>0</v>
      </c>
      <c r="AJ44" s="3">
        <v>0.84615384615384603</v>
      </c>
      <c r="AK44" s="3">
        <v>0</v>
      </c>
      <c r="AL44" s="3">
        <v>0.15384615384615399</v>
      </c>
      <c r="AM44" s="3">
        <v>0</v>
      </c>
      <c r="AN44" s="3">
        <v>0.77500000000000002</v>
      </c>
      <c r="AO44" s="3">
        <v>0.35555555555555601</v>
      </c>
      <c r="AP44" s="3">
        <v>0.197777777777778</v>
      </c>
      <c r="AQ44" s="3"/>
      <c r="AR44" s="3"/>
      <c r="AS44" s="3"/>
      <c r="AT44" s="3"/>
      <c r="AU44" s="3"/>
      <c r="AV44" s="3"/>
      <c r="AW44" s="6"/>
      <c r="AX44" s="6"/>
    </row>
    <row r="45" spans="1:50" x14ac:dyDescent="0.2">
      <c r="A45" s="3" t="s">
        <v>352</v>
      </c>
      <c r="B45" s="3" t="s">
        <v>138</v>
      </c>
      <c r="C45" s="3">
        <v>470381305</v>
      </c>
      <c r="D45" s="3" t="s">
        <v>156</v>
      </c>
      <c r="E45" s="3" t="s">
        <v>53</v>
      </c>
      <c r="F45" s="3" t="s">
        <v>59</v>
      </c>
      <c r="G45" s="3" t="s">
        <v>53</v>
      </c>
      <c r="H45" s="3" t="s">
        <v>86</v>
      </c>
      <c r="I45" s="3" t="s">
        <v>338</v>
      </c>
      <c r="J45" s="20" t="s">
        <v>353</v>
      </c>
      <c r="K45" s="3">
        <v>3.0448717948718E-2</v>
      </c>
      <c r="L45" s="3">
        <v>312</v>
      </c>
      <c r="M45" s="3">
        <v>-15.166852751086299</v>
      </c>
      <c r="N45" s="3">
        <v>2.0531353598191001E-3</v>
      </c>
      <c r="O45" s="3">
        <v>4.7633448538665704</v>
      </c>
      <c r="P45" s="3">
        <v>0</v>
      </c>
      <c r="Q45" s="3">
        <v>0</v>
      </c>
      <c r="R45" s="3">
        <v>30</v>
      </c>
      <c r="S45" s="3">
        <v>0</v>
      </c>
      <c r="T45" s="3">
        <v>0</v>
      </c>
      <c r="U45" s="3">
        <v>197</v>
      </c>
      <c r="V45" s="3">
        <v>0</v>
      </c>
      <c r="W45" s="3">
        <v>0</v>
      </c>
      <c r="X45" s="3">
        <v>137</v>
      </c>
      <c r="Y45" s="3">
        <v>0</v>
      </c>
      <c r="Z45" s="3">
        <v>0</v>
      </c>
      <c r="AA45" s="3">
        <v>0</v>
      </c>
      <c r="AB45" s="3">
        <v>0.54120879120879095</v>
      </c>
      <c r="AC45" s="3">
        <v>0.37637362637362598</v>
      </c>
      <c r="AD45" s="3">
        <v>8.2417582417582402E-2</v>
      </c>
      <c r="AE45" s="3">
        <v>0</v>
      </c>
      <c r="AF45" s="3">
        <v>0</v>
      </c>
      <c r="AG45" s="3">
        <v>0</v>
      </c>
      <c r="AH45" s="3">
        <v>0</v>
      </c>
      <c r="AI45" s="3">
        <v>0</v>
      </c>
      <c r="AJ45" s="3">
        <v>0.27060439560439598</v>
      </c>
      <c r="AK45" s="3">
        <v>0.72939560439560402</v>
      </c>
      <c r="AL45" s="3">
        <v>0</v>
      </c>
      <c r="AM45" s="3">
        <v>0</v>
      </c>
      <c r="AN45" s="3">
        <v>27.815999999999999</v>
      </c>
      <c r="AO45" s="3">
        <v>18.128205128205099</v>
      </c>
      <c r="AP45" s="3">
        <v>19.040588235294098</v>
      </c>
      <c r="AQ45" s="3"/>
      <c r="AR45" s="3"/>
      <c r="AS45" s="3"/>
      <c r="AT45" s="3"/>
      <c r="AU45" s="3"/>
      <c r="AV45" s="3"/>
      <c r="AW45" s="6"/>
      <c r="AX45" s="6"/>
    </row>
    <row r="46" spans="1:50" x14ac:dyDescent="0.2">
      <c r="A46" s="3" t="s">
        <v>354</v>
      </c>
      <c r="B46" s="3" t="s">
        <v>123</v>
      </c>
      <c r="C46" s="3">
        <v>190433484</v>
      </c>
      <c r="D46" s="3" t="s">
        <v>67</v>
      </c>
      <c r="E46" s="3" t="s">
        <v>53</v>
      </c>
      <c r="F46" s="3" t="s">
        <v>46</v>
      </c>
      <c r="G46" s="3" t="s">
        <v>46</v>
      </c>
      <c r="H46" s="3" t="s">
        <v>86</v>
      </c>
      <c r="I46" s="3" t="s">
        <v>338</v>
      </c>
      <c r="J46" s="20" t="s">
        <v>355</v>
      </c>
      <c r="K46" s="3">
        <v>1.6025641025640999E-3</v>
      </c>
      <c r="L46" s="3">
        <v>312</v>
      </c>
      <c r="M46" s="3">
        <v>-95.280521982153005</v>
      </c>
      <c r="N46" s="3">
        <v>1.70466628440929E-3</v>
      </c>
      <c r="O46" s="3">
        <v>0</v>
      </c>
      <c r="P46" s="3">
        <v>20</v>
      </c>
      <c r="Q46" s="3">
        <v>111</v>
      </c>
      <c r="R46" s="3">
        <v>233</v>
      </c>
      <c r="S46" s="3">
        <v>0</v>
      </c>
      <c r="T46" s="3">
        <v>0</v>
      </c>
      <c r="U46" s="3">
        <v>0</v>
      </c>
      <c r="V46" s="3">
        <v>0</v>
      </c>
      <c r="W46" s="3">
        <v>0</v>
      </c>
      <c r="X46" s="3">
        <v>0</v>
      </c>
      <c r="Y46" s="3">
        <v>0</v>
      </c>
      <c r="Z46" s="3">
        <v>0</v>
      </c>
      <c r="AA46" s="3">
        <v>0</v>
      </c>
      <c r="AB46" s="3">
        <v>0</v>
      </c>
      <c r="AC46" s="3">
        <v>0</v>
      </c>
      <c r="AD46" s="3">
        <v>0.64010989010988995</v>
      </c>
      <c r="AE46" s="3">
        <v>0.30494505494505503</v>
      </c>
      <c r="AF46" s="3">
        <v>5.4945054945054903E-2</v>
      </c>
      <c r="AG46" s="3">
        <v>0</v>
      </c>
      <c r="AH46" s="3">
        <v>0</v>
      </c>
      <c r="AI46" s="3">
        <v>0</v>
      </c>
      <c r="AJ46" s="3">
        <v>0.79258241758241799</v>
      </c>
      <c r="AK46" s="3">
        <v>0</v>
      </c>
      <c r="AL46" s="3">
        <v>0.20741758241758201</v>
      </c>
      <c r="AM46" s="3">
        <v>0</v>
      </c>
      <c r="AN46" s="3">
        <v>15.858823529411801</v>
      </c>
      <c r="AO46" s="3">
        <v>20.526666666666699</v>
      </c>
      <c r="AP46" s="3">
        <v>19.201463414634102</v>
      </c>
      <c r="AQ46" s="3" t="s">
        <v>914</v>
      </c>
      <c r="AR46" s="3"/>
      <c r="AS46" s="3" t="s">
        <v>635</v>
      </c>
      <c r="AT46" s="3" t="s">
        <v>636</v>
      </c>
      <c r="AU46" s="4">
        <v>0.89</v>
      </c>
      <c r="AV46" s="5">
        <v>0.93920000000000003</v>
      </c>
      <c r="AW46" s="6"/>
      <c r="AX46" s="6"/>
    </row>
    <row r="47" spans="1:50" x14ac:dyDescent="0.2">
      <c r="A47" s="3" t="s">
        <v>356</v>
      </c>
      <c r="B47" s="3" t="s">
        <v>160</v>
      </c>
      <c r="C47" s="3">
        <v>260252102</v>
      </c>
      <c r="D47" s="3" t="s">
        <v>127</v>
      </c>
      <c r="E47" s="3" t="s">
        <v>45</v>
      </c>
      <c r="F47" s="3" t="s">
        <v>53</v>
      </c>
      <c r="G47" s="3" t="s">
        <v>53</v>
      </c>
      <c r="H47" s="3" t="s">
        <v>86</v>
      </c>
      <c r="I47" s="3" t="s">
        <v>338</v>
      </c>
      <c r="J47" s="20" t="s">
        <v>357</v>
      </c>
      <c r="K47" s="3">
        <v>4.8076923076922897E-3</v>
      </c>
      <c r="L47" s="3">
        <v>312</v>
      </c>
      <c r="M47" s="3">
        <v>-69.769718118503107</v>
      </c>
      <c r="N47" s="20" t="s">
        <v>358</v>
      </c>
      <c r="O47" s="3">
        <v>0.528100979866586</v>
      </c>
      <c r="P47" s="3">
        <v>0</v>
      </c>
      <c r="Q47" s="3">
        <v>0</v>
      </c>
      <c r="R47" s="3">
        <v>0</v>
      </c>
      <c r="S47" s="3">
        <v>0</v>
      </c>
      <c r="T47" s="3">
        <v>364</v>
      </c>
      <c r="U47" s="3">
        <v>0</v>
      </c>
      <c r="V47" s="3">
        <v>0</v>
      </c>
      <c r="W47" s="3">
        <v>0</v>
      </c>
      <c r="X47" s="3">
        <v>0</v>
      </c>
      <c r="Y47" s="3">
        <v>0</v>
      </c>
      <c r="Z47" s="3">
        <v>0</v>
      </c>
      <c r="AA47" s="3">
        <v>1</v>
      </c>
      <c r="AB47" s="3">
        <v>0</v>
      </c>
      <c r="AC47" s="3">
        <v>0</v>
      </c>
      <c r="AD47" s="3">
        <v>0</v>
      </c>
      <c r="AE47" s="3">
        <v>0</v>
      </c>
      <c r="AF47" s="3">
        <v>0</v>
      </c>
      <c r="AG47" s="3">
        <v>0</v>
      </c>
      <c r="AH47" s="3">
        <v>0</v>
      </c>
      <c r="AI47" s="3">
        <v>0</v>
      </c>
      <c r="AJ47" s="3">
        <v>0</v>
      </c>
      <c r="AK47" s="3">
        <v>0</v>
      </c>
      <c r="AL47" s="3">
        <v>0</v>
      </c>
      <c r="AM47" s="3">
        <v>1</v>
      </c>
      <c r="AN47" s="3" t="s">
        <v>55</v>
      </c>
      <c r="AO47" s="3" t="s">
        <v>55</v>
      </c>
      <c r="AP47" s="3">
        <v>19.4016025641026</v>
      </c>
      <c r="AQ47" s="3"/>
      <c r="AR47" s="3"/>
      <c r="AS47" s="3"/>
      <c r="AT47" s="3"/>
      <c r="AU47" s="3"/>
      <c r="AV47" s="3"/>
      <c r="AW47" s="6"/>
      <c r="AX47" s="6"/>
    </row>
    <row r="48" spans="1:50" x14ac:dyDescent="0.2">
      <c r="A48" s="3" t="s">
        <v>359</v>
      </c>
      <c r="B48" s="3" t="s">
        <v>105</v>
      </c>
      <c r="C48" s="3">
        <v>262784533</v>
      </c>
      <c r="D48" s="3" t="s">
        <v>71</v>
      </c>
      <c r="E48" s="3" t="s">
        <v>59</v>
      </c>
      <c r="F48" s="3" t="s">
        <v>45</v>
      </c>
      <c r="G48" s="3" t="s">
        <v>59</v>
      </c>
      <c r="H48" s="3" t="s">
        <v>86</v>
      </c>
      <c r="I48" s="3" t="s">
        <v>338</v>
      </c>
      <c r="J48" s="20" t="s">
        <v>360</v>
      </c>
      <c r="K48" s="3">
        <v>0.177884615384615</v>
      </c>
      <c r="L48" s="3">
        <v>312</v>
      </c>
      <c r="M48" s="3">
        <v>-7.1645012645293198</v>
      </c>
      <c r="N48" s="3">
        <v>5.57592419078608E-3</v>
      </c>
      <c r="O48" s="20" t="s">
        <v>361</v>
      </c>
      <c r="P48" s="3">
        <v>0</v>
      </c>
      <c r="Q48" s="3">
        <v>0</v>
      </c>
      <c r="R48" s="3">
        <v>0</v>
      </c>
      <c r="S48" s="3">
        <v>0</v>
      </c>
      <c r="T48" s="3">
        <v>318</v>
      </c>
      <c r="U48" s="3">
        <v>2</v>
      </c>
      <c r="V48" s="3">
        <v>0</v>
      </c>
      <c r="W48" s="3">
        <v>44</v>
      </c>
      <c r="X48" s="3">
        <v>0</v>
      </c>
      <c r="Y48" s="3">
        <v>0</v>
      </c>
      <c r="Z48" s="3">
        <v>0.120879120879121</v>
      </c>
      <c r="AA48" s="3">
        <v>0.87362637362637396</v>
      </c>
      <c r="AB48" s="3">
        <v>5.4945054945055001E-3</v>
      </c>
      <c r="AC48" s="3">
        <v>0</v>
      </c>
      <c r="AD48" s="3">
        <v>0</v>
      </c>
      <c r="AE48" s="3">
        <v>0</v>
      </c>
      <c r="AF48" s="3">
        <v>0</v>
      </c>
      <c r="AG48" s="3">
        <v>0</v>
      </c>
      <c r="AH48" s="3">
        <v>0</v>
      </c>
      <c r="AI48" s="3">
        <v>0</v>
      </c>
      <c r="AJ48" s="3">
        <v>0</v>
      </c>
      <c r="AK48" s="3">
        <v>6.5934065934065894E-2</v>
      </c>
      <c r="AL48" s="3">
        <v>0</v>
      </c>
      <c r="AM48" s="3">
        <v>0.93406593406593397</v>
      </c>
      <c r="AN48" s="3">
        <v>40.75</v>
      </c>
      <c r="AO48" s="3">
        <v>25.364102564102598</v>
      </c>
      <c r="AP48" s="3">
        <v>18.385977859778599</v>
      </c>
      <c r="AQ48" s="3"/>
      <c r="AR48" s="3"/>
      <c r="AS48" s="3"/>
      <c r="AT48" s="3"/>
      <c r="AU48" s="3"/>
      <c r="AV48" s="3"/>
      <c r="AW48" s="6"/>
      <c r="AX48" s="6"/>
    </row>
    <row r="49" spans="1:50" ht="70" x14ac:dyDescent="0.2">
      <c r="A49" s="3" t="s">
        <v>362</v>
      </c>
      <c r="B49" s="3" t="s">
        <v>74</v>
      </c>
      <c r="C49" s="3">
        <v>70280031</v>
      </c>
      <c r="D49" s="3" t="s">
        <v>109</v>
      </c>
      <c r="E49" s="3" t="s">
        <v>59</v>
      </c>
      <c r="F49" s="3" t="s">
        <v>45</v>
      </c>
      <c r="G49" s="3" t="s">
        <v>45</v>
      </c>
      <c r="H49" s="3" t="s">
        <v>86</v>
      </c>
      <c r="I49" s="3" t="s">
        <v>338</v>
      </c>
      <c r="J49" s="20" t="s">
        <v>363</v>
      </c>
      <c r="K49" s="3">
        <v>0.28205128205128199</v>
      </c>
      <c r="L49" s="3">
        <v>312</v>
      </c>
      <c r="M49" s="3">
        <v>-6.1940266313559098</v>
      </c>
      <c r="N49" s="3">
        <v>1.0567443128084099E-3</v>
      </c>
      <c r="O49" s="20" t="s">
        <v>364</v>
      </c>
      <c r="P49" s="3">
        <v>0</v>
      </c>
      <c r="Q49" s="3">
        <v>0</v>
      </c>
      <c r="R49" s="3">
        <v>0</v>
      </c>
      <c r="S49" s="3">
        <v>0</v>
      </c>
      <c r="T49" s="3">
        <v>0</v>
      </c>
      <c r="U49" s="3">
        <v>239</v>
      </c>
      <c r="V49" s="3">
        <v>0</v>
      </c>
      <c r="W49" s="3">
        <v>125</v>
      </c>
      <c r="X49" s="3">
        <v>0</v>
      </c>
      <c r="Y49" s="3">
        <v>0</v>
      </c>
      <c r="Z49" s="3">
        <v>0.34340659340659302</v>
      </c>
      <c r="AA49" s="3">
        <v>0</v>
      </c>
      <c r="AB49" s="3">
        <v>0.65659340659340704</v>
      </c>
      <c r="AC49" s="3">
        <v>0</v>
      </c>
      <c r="AD49" s="3">
        <v>0</v>
      </c>
      <c r="AE49" s="3">
        <v>0</v>
      </c>
      <c r="AF49" s="3">
        <v>0</v>
      </c>
      <c r="AG49" s="3">
        <v>0</v>
      </c>
      <c r="AH49" s="3">
        <v>0</v>
      </c>
      <c r="AI49" s="3">
        <v>0</v>
      </c>
      <c r="AJ49" s="3">
        <v>0</v>
      </c>
      <c r="AK49" s="3">
        <v>0.82829670329670302</v>
      </c>
      <c r="AL49" s="3">
        <v>0</v>
      </c>
      <c r="AM49" s="3">
        <v>0.17170329670329701</v>
      </c>
      <c r="AN49" s="3" t="s">
        <v>55</v>
      </c>
      <c r="AO49" s="3">
        <v>19.751923076923099</v>
      </c>
      <c r="AP49" s="3">
        <v>19.226442307692299</v>
      </c>
      <c r="AQ49" s="3" t="s">
        <v>914</v>
      </c>
      <c r="AR49" s="3"/>
      <c r="AS49" s="3" t="s">
        <v>670</v>
      </c>
      <c r="AT49" s="3" t="s">
        <v>653</v>
      </c>
      <c r="AU49" s="4">
        <v>1</v>
      </c>
      <c r="AV49" s="5">
        <v>0.90200000000000002</v>
      </c>
      <c r="AW49" s="10" t="s">
        <v>671</v>
      </c>
      <c r="AX49" s="6" t="s">
        <v>672</v>
      </c>
    </row>
    <row r="50" spans="1:50" ht="112" x14ac:dyDescent="0.2">
      <c r="A50" s="3" t="s">
        <v>365</v>
      </c>
      <c r="B50" s="3" t="s">
        <v>108</v>
      </c>
      <c r="C50" s="3">
        <v>434778697</v>
      </c>
      <c r="D50" s="3" t="s">
        <v>52</v>
      </c>
      <c r="E50" s="3" t="s">
        <v>53</v>
      </c>
      <c r="F50" s="3" t="s">
        <v>46</v>
      </c>
      <c r="G50" s="3" t="s">
        <v>53</v>
      </c>
      <c r="H50" s="3" t="s">
        <v>86</v>
      </c>
      <c r="I50" s="3" t="s">
        <v>338</v>
      </c>
      <c r="J50" s="20" t="s">
        <v>366</v>
      </c>
      <c r="K50" s="3">
        <v>0.44551282051281998</v>
      </c>
      <c r="L50" s="3">
        <v>312</v>
      </c>
      <c r="M50" s="3">
        <v>3.9587983814196499</v>
      </c>
      <c r="N50" s="3">
        <v>5.57592419078608E-3</v>
      </c>
      <c r="O50" s="20" t="s">
        <v>367</v>
      </c>
      <c r="P50" s="3">
        <v>262</v>
      </c>
      <c r="Q50" s="3">
        <v>84</v>
      </c>
      <c r="R50" s="3">
        <v>18</v>
      </c>
      <c r="S50" s="3">
        <v>0</v>
      </c>
      <c r="T50" s="3">
        <v>0</v>
      </c>
      <c r="U50" s="3">
        <v>0</v>
      </c>
      <c r="V50" s="3">
        <v>0</v>
      </c>
      <c r="W50" s="3">
        <v>0</v>
      </c>
      <c r="X50" s="3">
        <v>0</v>
      </c>
      <c r="Y50" s="3">
        <v>0</v>
      </c>
      <c r="Z50" s="3">
        <v>0</v>
      </c>
      <c r="AA50" s="3">
        <v>0</v>
      </c>
      <c r="AB50" s="3">
        <v>0</v>
      </c>
      <c r="AC50" s="3">
        <v>0</v>
      </c>
      <c r="AD50" s="3">
        <v>4.94505494505494E-2</v>
      </c>
      <c r="AE50" s="3">
        <v>0.230769230769231</v>
      </c>
      <c r="AF50" s="3">
        <v>0.71978021978022</v>
      </c>
      <c r="AG50" s="3">
        <v>0</v>
      </c>
      <c r="AH50" s="3">
        <v>0</v>
      </c>
      <c r="AI50" s="3">
        <v>0</v>
      </c>
      <c r="AJ50" s="3">
        <v>0.164835164835165</v>
      </c>
      <c r="AK50" s="3">
        <v>0</v>
      </c>
      <c r="AL50" s="3">
        <v>0.83516483516483497</v>
      </c>
      <c r="AM50" s="3">
        <v>0</v>
      </c>
      <c r="AN50" s="3">
        <v>19.55</v>
      </c>
      <c r="AO50" s="3">
        <v>16.876712328767098</v>
      </c>
      <c r="AP50" s="3">
        <v>20.211555555555599</v>
      </c>
      <c r="AQ50" s="3" t="s">
        <v>914</v>
      </c>
      <c r="AR50" s="3"/>
      <c r="AS50" s="3" t="s">
        <v>673</v>
      </c>
      <c r="AT50" s="3" t="s">
        <v>653</v>
      </c>
      <c r="AU50" s="4">
        <v>0.98</v>
      </c>
      <c r="AV50" s="5">
        <v>0.91920000000000002</v>
      </c>
      <c r="AW50" s="11" t="s">
        <v>942</v>
      </c>
      <c r="AX50" s="6" t="s">
        <v>943</v>
      </c>
    </row>
    <row r="51" spans="1:50" x14ac:dyDescent="0.2">
      <c r="A51" s="3" t="s">
        <v>368</v>
      </c>
      <c r="B51" s="3" t="s">
        <v>90</v>
      </c>
      <c r="C51" s="3">
        <v>537945840</v>
      </c>
      <c r="D51" s="3" t="s">
        <v>71</v>
      </c>
      <c r="E51" s="3" t="s">
        <v>45</v>
      </c>
      <c r="F51" s="3" t="s">
        <v>59</v>
      </c>
      <c r="G51" s="3" t="s">
        <v>59</v>
      </c>
      <c r="H51" s="3" t="s">
        <v>86</v>
      </c>
      <c r="I51" s="3" t="s">
        <v>369</v>
      </c>
      <c r="J51" s="20" t="s">
        <v>370</v>
      </c>
      <c r="K51" s="3">
        <v>0.121428571428571</v>
      </c>
      <c r="L51" s="3">
        <v>280</v>
      </c>
      <c r="M51" s="3">
        <v>-2.9718656467656399</v>
      </c>
      <c r="N51" s="3">
        <v>7.4284726091550495E-4</v>
      </c>
      <c r="O51" s="3">
        <v>0</v>
      </c>
      <c r="P51" s="3">
        <v>0</v>
      </c>
      <c r="Q51" s="3">
        <v>0</v>
      </c>
      <c r="R51" s="3">
        <v>0</v>
      </c>
      <c r="S51" s="3">
        <v>0</v>
      </c>
      <c r="T51" s="3">
        <v>317</v>
      </c>
      <c r="U51" s="3">
        <v>1</v>
      </c>
      <c r="V51" s="3">
        <v>0</v>
      </c>
      <c r="W51" s="3">
        <v>46</v>
      </c>
      <c r="X51" s="3">
        <v>0</v>
      </c>
      <c r="Y51" s="3">
        <v>0</v>
      </c>
      <c r="Z51" s="3">
        <v>0.12637362637362601</v>
      </c>
      <c r="AA51" s="3">
        <v>0.870879120879121</v>
      </c>
      <c r="AB51" s="3">
        <v>2.7472527472527501E-3</v>
      </c>
      <c r="AC51" s="3">
        <v>0</v>
      </c>
      <c r="AD51" s="3">
        <v>0</v>
      </c>
      <c r="AE51" s="3">
        <v>0</v>
      </c>
      <c r="AF51" s="3">
        <v>0</v>
      </c>
      <c r="AG51" s="3">
        <v>0</v>
      </c>
      <c r="AH51" s="3">
        <v>0</v>
      </c>
      <c r="AI51" s="3">
        <v>0</v>
      </c>
      <c r="AJ51" s="3">
        <v>0</v>
      </c>
      <c r="AK51" s="3">
        <v>6.5934065934065894E-2</v>
      </c>
      <c r="AL51" s="3">
        <v>0</v>
      </c>
      <c r="AM51" s="3">
        <v>0.93406593406593397</v>
      </c>
      <c r="AN51" s="3" t="s">
        <v>55</v>
      </c>
      <c r="AO51" s="3">
        <v>7.3153846153846196</v>
      </c>
      <c r="AP51" s="3">
        <v>8.1983402489626496</v>
      </c>
      <c r="AQ51" s="3"/>
      <c r="AR51" s="3"/>
      <c r="AS51" s="3"/>
      <c r="AT51" s="3"/>
      <c r="AU51" s="3"/>
      <c r="AV51" s="3"/>
      <c r="AW51" s="6"/>
      <c r="AX51" s="6"/>
    </row>
    <row r="52" spans="1:50" x14ac:dyDescent="0.2">
      <c r="A52" s="3" t="s">
        <v>371</v>
      </c>
      <c r="B52" s="3" t="s">
        <v>160</v>
      </c>
      <c r="C52" s="3">
        <v>333518696</v>
      </c>
      <c r="D52" s="3" t="s">
        <v>58</v>
      </c>
      <c r="E52" s="3" t="s">
        <v>46</v>
      </c>
      <c r="F52" s="3" t="s">
        <v>59</v>
      </c>
      <c r="G52" s="3" t="s">
        <v>59</v>
      </c>
      <c r="H52" s="3" t="s">
        <v>86</v>
      </c>
      <c r="I52" s="3" t="s">
        <v>369</v>
      </c>
      <c r="J52" s="20" t="s">
        <v>372</v>
      </c>
      <c r="K52" s="3">
        <v>0.4375</v>
      </c>
      <c r="L52" s="3">
        <v>280</v>
      </c>
      <c r="M52" s="3">
        <v>-1.8549182072291199</v>
      </c>
      <c r="N52" s="3">
        <v>7.44113838990675E-3</v>
      </c>
      <c r="O52" s="3">
        <v>0</v>
      </c>
      <c r="P52" s="3">
        <v>361</v>
      </c>
      <c r="Q52" s="3">
        <v>0</v>
      </c>
      <c r="R52" s="3">
        <v>0</v>
      </c>
      <c r="S52" s="3">
        <v>0</v>
      </c>
      <c r="T52" s="3">
        <v>0</v>
      </c>
      <c r="U52" s="3">
        <v>0</v>
      </c>
      <c r="V52" s="3">
        <v>3</v>
      </c>
      <c r="W52" s="3">
        <v>0</v>
      </c>
      <c r="X52" s="3">
        <v>0</v>
      </c>
      <c r="Y52" s="3">
        <v>0</v>
      </c>
      <c r="Z52" s="3">
        <v>0</v>
      </c>
      <c r="AA52" s="3">
        <v>0</v>
      </c>
      <c r="AB52" s="3">
        <v>0</v>
      </c>
      <c r="AC52" s="3">
        <v>0</v>
      </c>
      <c r="AD52" s="3">
        <v>0</v>
      </c>
      <c r="AE52" s="3">
        <v>0</v>
      </c>
      <c r="AF52" s="3">
        <v>0.99175824175824201</v>
      </c>
      <c r="AG52" s="3">
        <v>0</v>
      </c>
      <c r="AH52" s="3">
        <v>0</v>
      </c>
      <c r="AI52" s="3">
        <v>8.2417582417582402E-3</v>
      </c>
      <c r="AJ52" s="3">
        <v>0</v>
      </c>
      <c r="AK52" s="3">
        <v>4.1208791208791201E-3</v>
      </c>
      <c r="AL52" s="3">
        <v>0.995879120879121</v>
      </c>
      <c r="AM52" s="3">
        <v>0</v>
      </c>
      <c r="AN52" s="3" t="s">
        <v>55</v>
      </c>
      <c r="AO52" s="3">
        <v>11.533333333333299</v>
      </c>
      <c r="AP52" s="3">
        <v>8.0379061371841196</v>
      </c>
      <c r="AQ52" s="3"/>
      <c r="AR52" s="3"/>
      <c r="AS52" s="3"/>
      <c r="AT52" s="3"/>
      <c r="AU52" s="3"/>
      <c r="AV52" s="3"/>
      <c r="AW52" s="6"/>
      <c r="AX52" s="6"/>
    </row>
    <row r="53" spans="1:50" x14ac:dyDescent="0.2">
      <c r="A53" s="3" t="s">
        <v>373</v>
      </c>
      <c r="B53" s="3" t="s">
        <v>160</v>
      </c>
      <c r="C53" s="3">
        <v>338632504</v>
      </c>
      <c r="D53" s="3" t="s">
        <v>58</v>
      </c>
      <c r="E53" s="3" t="s">
        <v>46</v>
      </c>
      <c r="F53" s="3" t="s">
        <v>59</v>
      </c>
      <c r="G53" s="3" t="s">
        <v>59</v>
      </c>
      <c r="H53" s="3" t="s">
        <v>86</v>
      </c>
      <c r="I53" s="3" t="s">
        <v>369</v>
      </c>
      <c r="J53" s="20" t="s">
        <v>374</v>
      </c>
      <c r="K53" s="3">
        <v>0.11607142857142901</v>
      </c>
      <c r="L53" s="3">
        <v>280</v>
      </c>
      <c r="M53" s="3">
        <v>-2.6328109640108202</v>
      </c>
      <c r="N53" s="3">
        <v>7.44113838990675E-3</v>
      </c>
      <c r="O53" s="3">
        <v>1.41625562681055</v>
      </c>
      <c r="P53" s="3">
        <v>105</v>
      </c>
      <c r="Q53" s="3">
        <v>0</v>
      </c>
      <c r="R53" s="3">
        <v>0</v>
      </c>
      <c r="S53" s="3">
        <v>0</v>
      </c>
      <c r="T53" s="3">
        <v>0</v>
      </c>
      <c r="U53" s="3">
        <v>91</v>
      </c>
      <c r="V53" s="3">
        <v>168</v>
      </c>
      <c r="W53" s="3">
        <v>0</v>
      </c>
      <c r="X53" s="3">
        <v>0</v>
      </c>
      <c r="Y53" s="3">
        <v>0</v>
      </c>
      <c r="Z53" s="3">
        <v>0</v>
      </c>
      <c r="AA53" s="3">
        <v>0</v>
      </c>
      <c r="AB53" s="3">
        <v>0.25</v>
      </c>
      <c r="AC53" s="3">
        <v>0</v>
      </c>
      <c r="AD53" s="3">
        <v>0</v>
      </c>
      <c r="AE53" s="3">
        <v>0</v>
      </c>
      <c r="AF53" s="3">
        <v>0.28846153846153799</v>
      </c>
      <c r="AG53" s="3">
        <v>0</v>
      </c>
      <c r="AH53" s="3">
        <v>0</v>
      </c>
      <c r="AI53" s="3">
        <v>0.46153846153846201</v>
      </c>
      <c r="AJ53" s="3">
        <v>0</v>
      </c>
      <c r="AK53" s="3">
        <v>0.480769230769231</v>
      </c>
      <c r="AL53" s="3">
        <v>0.51923076923076905</v>
      </c>
      <c r="AM53" s="3">
        <v>0</v>
      </c>
      <c r="AN53" s="3">
        <v>9.1424657534246592</v>
      </c>
      <c r="AO53" s="3">
        <v>8.0946153846153805</v>
      </c>
      <c r="AP53" s="3">
        <v>7.0311688311688298</v>
      </c>
      <c r="AQ53" s="3"/>
      <c r="AR53" s="3"/>
      <c r="AS53" s="3"/>
      <c r="AT53" s="3"/>
      <c r="AU53" s="3"/>
      <c r="AV53" s="3"/>
      <c r="AW53" s="6"/>
      <c r="AX53" s="6"/>
    </row>
    <row r="54" spans="1:50" x14ac:dyDescent="0.2">
      <c r="A54" s="3" t="s">
        <v>375</v>
      </c>
      <c r="B54" s="3" t="s">
        <v>224</v>
      </c>
      <c r="C54" s="3">
        <v>383088528</v>
      </c>
      <c r="D54" s="3" t="s">
        <v>109</v>
      </c>
      <c r="E54" s="3" t="s">
        <v>59</v>
      </c>
      <c r="F54" s="3" t="s">
        <v>45</v>
      </c>
      <c r="G54" s="3" t="s">
        <v>45</v>
      </c>
      <c r="H54" s="3" t="s">
        <v>86</v>
      </c>
      <c r="I54" s="3" t="s">
        <v>369</v>
      </c>
      <c r="J54" s="20" t="s">
        <v>376</v>
      </c>
      <c r="K54" s="3">
        <v>0.35892857142857099</v>
      </c>
      <c r="L54" s="3">
        <v>280</v>
      </c>
      <c r="M54" s="3">
        <v>-2.29642185776527</v>
      </c>
      <c r="N54" s="3">
        <v>4.4604526617597102E-4</v>
      </c>
      <c r="O54" s="3">
        <v>0</v>
      </c>
      <c r="P54" s="3">
        <v>0</v>
      </c>
      <c r="Q54" s="3">
        <v>0</v>
      </c>
      <c r="R54" s="3">
        <v>0</v>
      </c>
      <c r="S54" s="3">
        <v>0</v>
      </c>
      <c r="T54" s="3">
        <v>0</v>
      </c>
      <c r="U54" s="3">
        <v>352</v>
      </c>
      <c r="V54" s="3">
        <v>0</v>
      </c>
      <c r="W54" s="3">
        <v>12</v>
      </c>
      <c r="X54" s="3">
        <v>0</v>
      </c>
      <c r="Y54" s="3">
        <v>0</v>
      </c>
      <c r="Z54" s="3">
        <v>3.2967032967033003E-2</v>
      </c>
      <c r="AA54" s="3">
        <v>0</v>
      </c>
      <c r="AB54" s="3">
        <v>0.96703296703296704</v>
      </c>
      <c r="AC54" s="3">
        <v>0</v>
      </c>
      <c r="AD54" s="3">
        <v>0</v>
      </c>
      <c r="AE54" s="3">
        <v>0</v>
      </c>
      <c r="AF54" s="3">
        <v>0</v>
      </c>
      <c r="AG54" s="3">
        <v>0</v>
      </c>
      <c r="AH54" s="3">
        <v>0</v>
      </c>
      <c r="AI54" s="3">
        <v>0</v>
      </c>
      <c r="AJ54" s="3">
        <v>0</v>
      </c>
      <c r="AK54" s="3">
        <v>0.98351648351648402</v>
      </c>
      <c r="AL54" s="3">
        <v>0</v>
      </c>
      <c r="AM54" s="3">
        <v>1.6483516483516501E-2</v>
      </c>
      <c r="AN54" s="3" t="s">
        <v>55</v>
      </c>
      <c r="AO54" s="3">
        <v>11.3375</v>
      </c>
      <c r="AP54" s="3">
        <v>7.9794117647058798</v>
      </c>
      <c r="AQ54" s="3"/>
      <c r="AR54" s="3"/>
      <c r="AS54" s="3"/>
      <c r="AT54" s="3"/>
      <c r="AU54" s="3"/>
      <c r="AV54" s="3"/>
      <c r="AW54" s="6"/>
      <c r="AX54" s="6"/>
    </row>
    <row r="55" spans="1:50" x14ac:dyDescent="0.2">
      <c r="A55" s="3" t="s">
        <v>377</v>
      </c>
      <c r="B55" s="3" t="s">
        <v>224</v>
      </c>
      <c r="C55" s="3">
        <v>447957443</v>
      </c>
      <c r="D55" s="3" t="s">
        <v>52</v>
      </c>
      <c r="E55" s="3" t="s">
        <v>53</v>
      </c>
      <c r="F55" s="3" t="s">
        <v>46</v>
      </c>
      <c r="G55" s="3" t="s">
        <v>53</v>
      </c>
      <c r="H55" s="3" t="s">
        <v>86</v>
      </c>
      <c r="I55" s="3" t="s">
        <v>369</v>
      </c>
      <c r="J55" s="20" t="s">
        <v>378</v>
      </c>
      <c r="K55" s="3">
        <v>0.125</v>
      </c>
      <c r="L55" s="3">
        <v>280</v>
      </c>
      <c r="M55" s="3">
        <v>-3.1451724079990799</v>
      </c>
      <c r="N55" s="3">
        <v>7.4284726091550495E-4</v>
      </c>
      <c r="O55" s="3" t="s">
        <v>55</v>
      </c>
      <c r="P55" s="3">
        <v>318</v>
      </c>
      <c r="Q55" s="3">
        <v>39</v>
      </c>
      <c r="R55" s="3">
        <v>7</v>
      </c>
      <c r="S55" s="3">
        <v>0</v>
      </c>
      <c r="T55" s="3">
        <v>0</v>
      </c>
      <c r="U55" s="3">
        <v>0</v>
      </c>
      <c r="V55" s="3">
        <v>0</v>
      </c>
      <c r="W55" s="3">
        <v>0</v>
      </c>
      <c r="X55" s="3">
        <v>0</v>
      </c>
      <c r="Y55" s="3">
        <v>0</v>
      </c>
      <c r="Z55" s="3">
        <v>0</v>
      </c>
      <c r="AA55" s="3">
        <v>0</v>
      </c>
      <c r="AB55" s="3">
        <v>0</v>
      </c>
      <c r="AC55" s="3">
        <v>0</v>
      </c>
      <c r="AD55" s="3">
        <v>1.9230769230769201E-2</v>
      </c>
      <c r="AE55" s="3">
        <v>0.107142857142857</v>
      </c>
      <c r="AF55" s="3">
        <v>0.87362637362637396</v>
      </c>
      <c r="AG55" s="3">
        <v>0</v>
      </c>
      <c r="AH55" s="3">
        <v>0</v>
      </c>
      <c r="AI55" s="3">
        <v>0</v>
      </c>
      <c r="AJ55" s="3">
        <v>7.2802197802197793E-2</v>
      </c>
      <c r="AK55" s="3">
        <v>0</v>
      </c>
      <c r="AL55" s="3">
        <v>0.92719780219780201</v>
      </c>
      <c r="AM55" s="3">
        <v>0</v>
      </c>
      <c r="AN55" s="3">
        <v>6.5</v>
      </c>
      <c r="AO55" s="3">
        <v>8.5620689655172395</v>
      </c>
      <c r="AP55" s="3">
        <v>8.0500000000000007</v>
      </c>
      <c r="AQ55" s="3"/>
      <c r="AR55" s="3"/>
      <c r="AS55" s="3"/>
      <c r="AT55" s="3"/>
      <c r="AU55" s="3"/>
      <c r="AV55" s="3"/>
      <c r="AW55" s="6"/>
      <c r="AX55" s="6"/>
    </row>
    <row r="56" spans="1:50" x14ac:dyDescent="0.2">
      <c r="A56" s="3" t="s">
        <v>379</v>
      </c>
      <c r="B56" s="3" t="s">
        <v>108</v>
      </c>
      <c r="C56" s="3">
        <v>259924662</v>
      </c>
      <c r="D56" s="3" t="s">
        <v>67</v>
      </c>
      <c r="E56" s="3" t="s">
        <v>53</v>
      </c>
      <c r="F56" s="3" t="s">
        <v>46</v>
      </c>
      <c r="G56" s="3" t="s">
        <v>46</v>
      </c>
      <c r="H56" s="3" t="s">
        <v>86</v>
      </c>
      <c r="I56" s="3" t="s">
        <v>369</v>
      </c>
      <c r="J56" s="20" t="s">
        <v>380</v>
      </c>
      <c r="K56" s="3">
        <v>0.33392857142857102</v>
      </c>
      <c r="L56" s="3">
        <v>280</v>
      </c>
      <c r="M56" s="3">
        <v>2.33806430266173</v>
      </c>
      <c r="N56" s="3">
        <v>8.2196772912690702E-4</v>
      </c>
      <c r="O56" s="3">
        <v>3.1835443671806098</v>
      </c>
      <c r="P56" s="3">
        <v>0</v>
      </c>
      <c r="Q56" s="3">
        <v>2</v>
      </c>
      <c r="R56" s="3">
        <v>362</v>
      </c>
      <c r="S56" s="3">
        <v>0</v>
      </c>
      <c r="T56" s="3">
        <v>0</v>
      </c>
      <c r="U56" s="3">
        <v>0</v>
      </c>
      <c r="V56" s="3">
        <v>0</v>
      </c>
      <c r="W56" s="3">
        <v>0</v>
      </c>
      <c r="X56" s="3">
        <v>0</v>
      </c>
      <c r="Y56" s="3">
        <v>0</v>
      </c>
      <c r="Z56" s="3">
        <v>0</v>
      </c>
      <c r="AA56" s="3">
        <v>0</v>
      </c>
      <c r="AB56" s="3">
        <v>0</v>
      </c>
      <c r="AC56" s="3">
        <v>0</v>
      </c>
      <c r="AD56" s="3">
        <v>0.99450549450549497</v>
      </c>
      <c r="AE56" s="3">
        <v>5.4945054945055001E-3</v>
      </c>
      <c r="AF56" s="3">
        <v>0</v>
      </c>
      <c r="AG56" s="3">
        <v>0</v>
      </c>
      <c r="AH56" s="3">
        <v>0</v>
      </c>
      <c r="AI56" s="3">
        <v>0</v>
      </c>
      <c r="AJ56" s="3">
        <v>0.99725274725274704</v>
      </c>
      <c r="AK56" s="3">
        <v>0</v>
      </c>
      <c r="AL56" s="3">
        <v>2.7472527472527501E-3</v>
      </c>
      <c r="AM56" s="3">
        <v>0</v>
      </c>
      <c r="AN56" s="3" t="s">
        <v>55</v>
      </c>
      <c r="AO56" s="3">
        <v>17.850000000000001</v>
      </c>
      <c r="AP56" s="3">
        <v>8.0050359712230197</v>
      </c>
      <c r="AQ56" s="3"/>
      <c r="AR56" s="3"/>
      <c r="AS56" s="3"/>
      <c r="AT56" s="3"/>
      <c r="AU56" s="3"/>
      <c r="AV56" s="3"/>
      <c r="AW56" s="6"/>
      <c r="AX56" s="6"/>
    </row>
    <row r="57" spans="1:50" ht="42" x14ac:dyDescent="0.2">
      <c r="A57" s="3" t="s">
        <v>431</v>
      </c>
      <c r="B57" s="3" t="s">
        <v>90</v>
      </c>
      <c r="C57" s="3">
        <v>530678956</v>
      </c>
      <c r="D57" s="3" t="s">
        <v>71</v>
      </c>
      <c r="E57" s="3" t="s">
        <v>45</v>
      </c>
      <c r="F57" s="3" t="s">
        <v>59</v>
      </c>
      <c r="G57" s="3" t="s">
        <v>59</v>
      </c>
      <c r="H57" s="3" t="s">
        <v>86</v>
      </c>
      <c r="I57" s="3" t="s">
        <v>432</v>
      </c>
      <c r="J57" s="20" t="s">
        <v>433</v>
      </c>
      <c r="K57" s="3">
        <v>5.1724137931034503E-2</v>
      </c>
      <c r="L57" s="3">
        <v>319</v>
      </c>
      <c r="M57" s="3">
        <v>-1.8546036984652701</v>
      </c>
      <c r="N57" s="3">
        <v>4.2687333931688598E-4</v>
      </c>
      <c r="O57" s="3">
        <v>0</v>
      </c>
      <c r="P57" s="3">
        <v>0</v>
      </c>
      <c r="Q57" s="3">
        <v>0</v>
      </c>
      <c r="R57" s="3">
        <v>0</v>
      </c>
      <c r="S57" s="3">
        <v>0</v>
      </c>
      <c r="T57" s="3">
        <v>335</v>
      </c>
      <c r="U57" s="3">
        <v>0</v>
      </c>
      <c r="V57" s="3">
        <v>0</v>
      </c>
      <c r="W57" s="3">
        <v>22</v>
      </c>
      <c r="X57" s="3">
        <v>0</v>
      </c>
      <c r="Y57" s="3">
        <v>0</v>
      </c>
      <c r="Z57" s="3">
        <v>6.1624649859944002E-2</v>
      </c>
      <c r="AA57" s="3">
        <v>0.93837535014005602</v>
      </c>
      <c r="AB57" s="3">
        <v>0</v>
      </c>
      <c r="AC57" s="3">
        <v>0</v>
      </c>
      <c r="AD57" s="3">
        <v>0</v>
      </c>
      <c r="AE57" s="3">
        <v>0</v>
      </c>
      <c r="AF57" s="3">
        <v>0</v>
      </c>
      <c r="AG57" s="3">
        <v>0</v>
      </c>
      <c r="AH57" s="3">
        <v>0</v>
      </c>
      <c r="AI57" s="3">
        <v>0</v>
      </c>
      <c r="AJ57" s="3">
        <v>0</v>
      </c>
      <c r="AK57" s="3">
        <v>3.0812324929972001E-2</v>
      </c>
      <c r="AL57" s="3">
        <v>0</v>
      </c>
      <c r="AM57" s="3">
        <v>0.96918767507002801</v>
      </c>
      <c r="AN57" s="3" t="s">
        <v>55</v>
      </c>
      <c r="AO57" s="3">
        <v>2.0473684210526302</v>
      </c>
      <c r="AP57" s="3">
        <v>3.0840000000000001</v>
      </c>
      <c r="AQ57" s="3" t="s">
        <v>676</v>
      </c>
      <c r="AR57" s="3" t="s">
        <v>635</v>
      </c>
      <c r="AS57" s="3" t="s">
        <v>677</v>
      </c>
      <c r="AT57" s="3" t="s">
        <v>636</v>
      </c>
      <c r="AU57" s="4">
        <v>1</v>
      </c>
      <c r="AV57" s="5">
        <v>0.96020000000000005</v>
      </c>
      <c r="AW57" s="10" t="s">
        <v>678</v>
      </c>
      <c r="AX57" s="6" t="s">
        <v>679</v>
      </c>
    </row>
    <row r="58" spans="1:50" x14ac:dyDescent="0.2">
      <c r="A58" s="3" t="s">
        <v>434</v>
      </c>
      <c r="B58" s="3" t="s">
        <v>90</v>
      </c>
      <c r="C58" s="3">
        <v>594684575</v>
      </c>
      <c r="D58" s="3" t="s">
        <v>52</v>
      </c>
      <c r="E58" s="3" t="s">
        <v>46</v>
      </c>
      <c r="F58" s="3" t="s">
        <v>53</v>
      </c>
      <c r="G58" s="3" t="s">
        <v>53</v>
      </c>
      <c r="H58" s="3" t="s">
        <v>86</v>
      </c>
      <c r="I58" s="3" t="s">
        <v>432</v>
      </c>
      <c r="J58" s="20" t="s">
        <v>435</v>
      </c>
      <c r="K58" s="3">
        <v>1.5673981191222099E-3</v>
      </c>
      <c r="L58" s="3">
        <v>319</v>
      </c>
      <c r="M58" s="3">
        <v>-13.7823359485824</v>
      </c>
      <c r="N58" s="20" t="s">
        <v>436</v>
      </c>
      <c r="O58" s="3">
        <v>2.38993559186722</v>
      </c>
      <c r="P58" s="3">
        <v>268</v>
      </c>
      <c r="Q58" s="3">
        <v>67</v>
      </c>
      <c r="R58" s="3">
        <v>22</v>
      </c>
      <c r="S58" s="3">
        <v>0</v>
      </c>
      <c r="T58" s="3">
        <v>0</v>
      </c>
      <c r="U58" s="3">
        <v>0</v>
      </c>
      <c r="V58" s="3">
        <v>0</v>
      </c>
      <c r="W58" s="3">
        <v>0</v>
      </c>
      <c r="X58" s="3">
        <v>0</v>
      </c>
      <c r="Y58" s="3">
        <v>0</v>
      </c>
      <c r="Z58" s="3">
        <v>0</v>
      </c>
      <c r="AA58" s="3">
        <v>0</v>
      </c>
      <c r="AB58" s="3">
        <v>0</v>
      </c>
      <c r="AC58" s="3">
        <v>0</v>
      </c>
      <c r="AD58" s="3">
        <v>6.1624649859944002E-2</v>
      </c>
      <c r="AE58" s="3">
        <v>0.18767507002801101</v>
      </c>
      <c r="AF58" s="3">
        <v>0.75070028011204504</v>
      </c>
      <c r="AG58" s="3">
        <v>0</v>
      </c>
      <c r="AH58" s="3">
        <v>0</v>
      </c>
      <c r="AI58" s="3">
        <v>0</v>
      </c>
      <c r="AJ58" s="3">
        <v>0.15546218487395</v>
      </c>
      <c r="AK58" s="3">
        <v>0</v>
      </c>
      <c r="AL58" s="3">
        <v>0.84453781512604997</v>
      </c>
      <c r="AM58" s="3">
        <v>0</v>
      </c>
      <c r="AN58" s="3">
        <v>2.7909090909090901</v>
      </c>
      <c r="AO58" s="3">
        <v>2.85</v>
      </c>
      <c r="AP58" s="3">
        <v>3.0873417721519001</v>
      </c>
      <c r="AQ58" s="3"/>
      <c r="AR58" s="3"/>
      <c r="AS58" s="3"/>
      <c r="AT58" s="3"/>
      <c r="AU58" s="3"/>
      <c r="AV58" s="3"/>
      <c r="AW58" s="6"/>
      <c r="AX58" s="6"/>
    </row>
    <row r="59" spans="1:50" ht="56" x14ac:dyDescent="0.2">
      <c r="A59" s="3" t="s">
        <v>437</v>
      </c>
      <c r="B59" s="3" t="s">
        <v>152</v>
      </c>
      <c r="C59" s="3">
        <v>16833484</v>
      </c>
      <c r="D59" s="3" t="s">
        <v>44</v>
      </c>
      <c r="E59" s="3" t="s">
        <v>46</v>
      </c>
      <c r="F59" s="3" t="s">
        <v>45</v>
      </c>
      <c r="G59" s="3" t="s">
        <v>46</v>
      </c>
      <c r="H59" s="3" t="s">
        <v>86</v>
      </c>
      <c r="I59" s="3" t="s">
        <v>432</v>
      </c>
      <c r="J59" s="20" t="s">
        <v>438</v>
      </c>
      <c r="K59" s="3">
        <v>1.5673981191222099E-3</v>
      </c>
      <c r="L59" s="3">
        <v>319</v>
      </c>
      <c r="M59" s="3">
        <v>-17.229815244987499</v>
      </c>
      <c r="N59" s="20" t="s">
        <v>439</v>
      </c>
      <c r="O59" s="3">
        <v>0</v>
      </c>
      <c r="P59" s="3">
        <v>0</v>
      </c>
      <c r="Q59" s="3">
        <v>0</v>
      </c>
      <c r="R59" s="3">
        <v>0</v>
      </c>
      <c r="S59" s="3">
        <v>18</v>
      </c>
      <c r="T59" s="3">
        <v>339</v>
      </c>
      <c r="U59" s="3">
        <v>0</v>
      </c>
      <c r="V59" s="3">
        <v>0</v>
      </c>
      <c r="W59" s="3">
        <v>0</v>
      </c>
      <c r="X59" s="3">
        <v>0</v>
      </c>
      <c r="Y59" s="3">
        <v>0</v>
      </c>
      <c r="Z59" s="3">
        <v>0</v>
      </c>
      <c r="AA59" s="3">
        <v>0.94957983193277296</v>
      </c>
      <c r="AB59" s="3">
        <v>0</v>
      </c>
      <c r="AC59" s="3">
        <v>0</v>
      </c>
      <c r="AD59" s="3">
        <v>0</v>
      </c>
      <c r="AE59" s="3">
        <v>0</v>
      </c>
      <c r="AF59" s="3">
        <v>0</v>
      </c>
      <c r="AG59" s="3">
        <v>5.0420168067226899E-2</v>
      </c>
      <c r="AH59" s="3">
        <v>0</v>
      </c>
      <c r="AI59" s="3">
        <v>0</v>
      </c>
      <c r="AJ59" s="3">
        <v>0</v>
      </c>
      <c r="AK59" s="3">
        <v>0</v>
      </c>
      <c r="AL59" s="3">
        <v>2.5210084033613401E-2</v>
      </c>
      <c r="AM59" s="3">
        <v>0.97478991596638698</v>
      </c>
      <c r="AN59" s="3" t="s">
        <v>55</v>
      </c>
      <c r="AO59" s="3">
        <v>4.8133333333333299</v>
      </c>
      <c r="AP59" s="3">
        <v>2.93388157894737</v>
      </c>
      <c r="AQ59" s="3" t="s">
        <v>914</v>
      </c>
      <c r="AR59" s="3"/>
      <c r="AS59" s="3" t="s">
        <v>680</v>
      </c>
      <c r="AT59" s="3" t="s">
        <v>636</v>
      </c>
      <c r="AU59" s="4">
        <v>0.8</v>
      </c>
      <c r="AV59" s="5">
        <v>0.7117</v>
      </c>
      <c r="AW59" s="12" t="s">
        <v>681</v>
      </c>
      <c r="AX59" s="6" t="s">
        <v>682</v>
      </c>
    </row>
    <row r="60" spans="1:50" x14ac:dyDescent="0.2">
      <c r="A60" s="3" t="s">
        <v>440</v>
      </c>
      <c r="B60" s="3" t="s">
        <v>152</v>
      </c>
      <c r="C60" s="3">
        <v>421470788</v>
      </c>
      <c r="D60" s="3" t="s">
        <v>127</v>
      </c>
      <c r="E60" s="3" t="s">
        <v>45</v>
      </c>
      <c r="F60" s="3" t="s">
        <v>53</v>
      </c>
      <c r="G60" s="3" t="s">
        <v>53</v>
      </c>
      <c r="H60" s="3" t="s">
        <v>86</v>
      </c>
      <c r="I60" s="3" t="s">
        <v>432</v>
      </c>
      <c r="J60" s="20" t="s">
        <v>441</v>
      </c>
      <c r="K60" s="3">
        <v>2.1943573667711599E-2</v>
      </c>
      <c r="L60" s="3">
        <v>319</v>
      </c>
      <c r="M60" s="3">
        <v>-2.89082675760221</v>
      </c>
      <c r="N60" s="3">
        <v>3.2819025197096901E-4</v>
      </c>
      <c r="O60" s="3">
        <v>6.7459249317482497</v>
      </c>
      <c r="P60" s="3">
        <v>0</v>
      </c>
      <c r="Q60" s="3">
        <v>0</v>
      </c>
      <c r="R60" s="3">
        <v>3</v>
      </c>
      <c r="S60" s="3">
        <v>0</v>
      </c>
      <c r="T60" s="3">
        <v>302</v>
      </c>
      <c r="U60" s="3">
        <v>0</v>
      </c>
      <c r="V60" s="3">
        <v>0</v>
      </c>
      <c r="W60" s="3">
        <v>0</v>
      </c>
      <c r="X60" s="3">
        <v>0</v>
      </c>
      <c r="Y60" s="3">
        <v>52</v>
      </c>
      <c r="Z60" s="3">
        <v>0</v>
      </c>
      <c r="AA60" s="3">
        <v>0.84593837535014005</v>
      </c>
      <c r="AB60" s="3">
        <v>0</v>
      </c>
      <c r="AC60" s="3">
        <v>0</v>
      </c>
      <c r="AD60" s="3">
        <v>8.4033613445378096E-3</v>
      </c>
      <c r="AE60" s="3">
        <v>0</v>
      </c>
      <c r="AF60" s="3">
        <v>0</v>
      </c>
      <c r="AG60" s="3">
        <v>0</v>
      </c>
      <c r="AH60" s="3">
        <v>0.145658263305322</v>
      </c>
      <c r="AI60" s="3">
        <v>0</v>
      </c>
      <c r="AJ60" s="3">
        <v>8.1232492997198896E-2</v>
      </c>
      <c r="AK60" s="3">
        <v>0</v>
      </c>
      <c r="AL60" s="3">
        <v>0</v>
      </c>
      <c r="AM60" s="3">
        <v>0.91876750700280096</v>
      </c>
      <c r="AN60" s="3">
        <v>1.7666666666666699</v>
      </c>
      <c r="AO60" s="3">
        <v>2.9914893617021301</v>
      </c>
      <c r="AP60" s="3">
        <v>3.0416356877323398</v>
      </c>
      <c r="AQ60" s="3"/>
      <c r="AR60" s="3"/>
      <c r="AS60" s="3"/>
      <c r="AT60" s="3"/>
      <c r="AU60" s="3"/>
      <c r="AV60" s="3"/>
      <c r="AW60" s="6"/>
      <c r="AX60" s="6"/>
    </row>
    <row r="61" spans="1:50" ht="42" x14ac:dyDescent="0.2">
      <c r="A61" s="3" t="s">
        <v>442</v>
      </c>
      <c r="B61" s="3" t="s">
        <v>152</v>
      </c>
      <c r="C61" s="3">
        <v>491374653</v>
      </c>
      <c r="D61" s="3" t="s">
        <v>109</v>
      </c>
      <c r="E61" s="3" t="s">
        <v>59</v>
      </c>
      <c r="F61" s="3" t="s">
        <v>45</v>
      </c>
      <c r="G61" s="3" t="s">
        <v>45</v>
      </c>
      <c r="H61" s="3" t="s">
        <v>86</v>
      </c>
      <c r="I61" s="3" t="s">
        <v>432</v>
      </c>
      <c r="J61" s="20" t="s">
        <v>443</v>
      </c>
      <c r="K61" s="3">
        <v>0.43416927899686503</v>
      </c>
      <c r="L61" s="3">
        <v>319</v>
      </c>
      <c r="M61" s="3">
        <v>1.1231558308302501</v>
      </c>
      <c r="N61" s="3">
        <v>9.8135565743742693E-4</v>
      </c>
      <c r="O61" s="3">
        <v>0</v>
      </c>
      <c r="P61" s="3">
        <v>0</v>
      </c>
      <c r="Q61" s="3">
        <v>0</v>
      </c>
      <c r="R61" s="3">
        <v>0</v>
      </c>
      <c r="S61" s="3">
        <v>0</v>
      </c>
      <c r="T61" s="3">
        <v>9</v>
      </c>
      <c r="U61" s="3">
        <v>285</v>
      </c>
      <c r="V61" s="3">
        <v>0</v>
      </c>
      <c r="W61" s="3">
        <v>63</v>
      </c>
      <c r="X61" s="3">
        <v>0</v>
      </c>
      <c r="Y61" s="3">
        <v>0</v>
      </c>
      <c r="Z61" s="3">
        <v>0.17647058823529399</v>
      </c>
      <c r="AA61" s="3">
        <v>2.5210084033613401E-2</v>
      </c>
      <c r="AB61" s="3">
        <v>0.79831932773109204</v>
      </c>
      <c r="AC61" s="3">
        <v>0</v>
      </c>
      <c r="AD61" s="3">
        <v>0</v>
      </c>
      <c r="AE61" s="3">
        <v>0</v>
      </c>
      <c r="AF61" s="3">
        <v>0</v>
      </c>
      <c r="AG61" s="3">
        <v>0</v>
      </c>
      <c r="AH61" s="3">
        <v>0</v>
      </c>
      <c r="AI61" s="3">
        <v>0</v>
      </c>
      <c r="AJ61" s="3">
        <v>0</v>
      </c>
      <c r="AK61" s="3">
        <v>0.88655462184874001</v>
      </c>
      <c r="AL61" s="3">
        <v>0</v>
      </c>
      <c r="AM61" s="3">
        <v>0.113445378151261</v>
      </c>
      <c r="AN61" s="3">
        <v>2.0888888888888899</v>
      </c>
      <c r="AO61" s="3">
        <v>3.2448275862068998</v>
      </c>
      <c r="AP61" s="3">
        <v>3.0043650793650798</v>
      </c>
      <c r="AQ61" s="3" t="s">
        <v>683</v>
      </c>
      <c r="AR61" s="3" t="s">
        <v>684</v>
      </c>
      <c r="AS61" s="3" t="s">
        <v>913</v>
      </c>
      <c r="AT61" s="3"/>
      <c r="AU61" s="3"/>
      <c r="AV61" s="3"/>
      <c r="AW61" s="11" t="s">
        <v>685</v>
      </c>
      <c r="AX61" s="6" t="s">
        <v>686</v>
      </c>
    </row>
    <row r="62" spans="1:50" x14ac:dyDescent="0.2">
      <c r="A62" s="3" t="s">
        <v>444</v>
      </c>
      <c r="B62" s="3" t="s">
        <v>152</v>
      </c>
      <c r="C62" s="3">
        <v>495046207</v>
      </c>
      <c r="D62" s="3" t="s">
        <v>109</v>
      </c>
      <c r="E62" s="3" t="s">
        <v>59</v>
      </c>
      <c r="F62" s="3" t="s">
        <v>45</v>
      </c>
      <c r="G62" s="3" t="s">
        <v>45</v>
      </c>
      <c r="H62" s="3" t="s">
        <v>86</v>
      </c>
      <c r="I62" s="3" t="s">
        <v>432</v>
      </c>
      <c r="J62" s="20" t="s">
        <v>445</v>
      </c>
      <c r="K62" s="3">
        <v>7.9937304075235097E-2</v>
      </c>
      <c r="L62" s="3">
        <v>319</v>
      </c>
      <c r="M62" s="3">
        <v>-2.0085029684374298</v>
      </c>
      <c r="N62" s="3">
        <v>1.3800269947648899E-4</v>
      </c>
      <c r="O62" s="3">
        <v>3.4629503576163598</v>
      </c>
      <c r="P62" s="3">
        <v>0</v>
      </c>
      <c r="Q62" s="3">
        <v>0</v>
      </c>
      <c r="R62" s="3">
        <v>0</v>
      </c>
      <c r="S62" s="3">
        <v>0</v>
      </c>
      <c r="T62" s="3">
        <v>2</v>
      </c>
      <c r="U62" s="3">
        <v>130</v>
      </c>
      <c r="V62" s="3">
        <v>0</v>
      </c>
      <c r="W62" s="3">
        <v>225</v>
      </c>
      <c r="X62" s="3">
        <v>0</v>
      </c>
      <c r="Y62" s="3">
        <v>0</v>
      </c>
      <c r="Z62" s="3">
        <v>0.630252100840336</v>
      </c>
      <c r="AA62" s="3">
        <v>5.60224089635854E-3</v>
      </c>
      <c r="AB62" s="3">
        <v>0.36414565826330503</v>
      </c>
      <c r="AC62" s="3">
        <v>0</v>
      </c>
      <c r="AD62" s="3">
        <v>0</v>
      </c>
      <c r="AE62" s="3">
        <v>0</v>
      </c>
      <c r="AF62" s="3">
        <v>0</v>
      </c>
      <c r="AG62" s="3">
        <v>0</v>
      </c>
      <c r="AH62" s="3">
        <v>0</v>
      </c>
      <c r="AI62" s="3">
        <v>0</v>
      </c>
      <c r="AJ62" s="3">
        <v>0</v>
      </c>
      <c r="AK62" s="3">
        <v>0.67927170868347297</v>
      </c>
      <c r="AL62" s="3">
        <v>0</v>
      </c>
      <c r="AM62" s="3">
        <v>0.32072829131652703</v>
      </c>
      <c r="AN62" s="3">
        <v>0.85</v>
      </c>
      <c r="AO62" s="3">
        <v>3.13316831683168</v>
      </c>
      <c r="AP62" s="3">
        <v>2.8652173913043502</v>
      </c>
      <c r="AQ62" s="3" t="s">
        <v>687</v>
      </c>
      <c r="AR62" s="3" t="s">
        <v>635</v>
      </c>
      <c r="AS62" s="3" t="s">
        <v>635</v>
      </c>
      <c r="AT62" s="3" t="s">
        <v>636</v>
      </c>
      <c r="AU62" s="4">
        <v>0.97</v>
      </c>
      <c r="AV62" s="5">
        <v>0.6976</v>
      </c>
      <c r="AW62" s="6"/>
      <c r="AX62" s="6"/>
    </row>
    <row r="63" spans="1:50" ht="70" x14ac:dyDescent="0.2">
      <c r="A63" s="3" t="s">
        <v>446</v>
      </c>
      <c r="B63" s="3" t="s">
        <v>70</v>
      </c>
      <c r="C63" s="3">
        <v>301996644</v>
      </c>
      <c r="D63" s="3" t="s">
        <v>67</v>
      </c>
      <c r="E63" s="3" t="s">
        <v>46</v>
      </c>
      <c r="F63" s="3" t="s">
        <v>53</v>
      </c>
      <c r="G63" s="3" t="s">
        <v>46</v>
      </c>
      <c r="H63" s="3" t="s">
        <v>86</v>
      </c>
      <c r="I63" s="3" t="s">
        <v>432</v>
      </c>
      <c r="J63" s="20" t="s">
        <v>447</v>
      </c>
      <c r="K63" s="3">
        <v>1.5673981191222099E-3</v>
      </c>
      <c r="L63" s="3">
        <v>319</v>
      </c>
      <c r="M63" s="3">
        <v>-17.142776707835299</v>
      </c>
      <c r="N63" s="20" t="s">
        <v>448</v>
      </c>
      <c r="O63" s="3">
        <v>1.0893526687752899</v>
      </c>
      <c r="P63" s="3">
        <v>0</v>
      </c>
      <c r="Q63" s="3">
        <v>18</v>
      </c>
      <c r="R63" s="3">
        <v>339</v>
      </c>
      <c r="S63" s="3">
        <v>0</v>
      </c>
      <c r="T63" s="3">
        <v>0</v>
      </c>
      <c r="U63" s="3">
        <v>0</v>
      </c>
      <c r="V63" s="3">
        <v>0</v>
      </c>
      <c r="W63" s="3">
        <v>0</v>
      </c>
      <c r="X63" s="3">
        <v>0</v>
      </c>
      <c r="Y63" s="3">
        <v>0</v>
      </c>
      <c r="Z63" s="3">
        <v>0</v>
      </c>
      <c r="AA63" s="3">
        <v>0</v>
      </c>
      <c r="AB63" s="3">
        <v>0</v>
      </c>
      <c r="AC63" s="3">
        <v>0</v>
      </c>
      <c r="AD63" s="3">
        <v>0.94957983193277296</v>
      </c>
      <c r="AE63" s="3">
        <v>5.0420168067226899E-2</v>
      </c>
      <c r="AF63" s="3">
        <v>0</v>
      </c>
      <c r="AG63" s="3">
        <v>0</v>
      </c>
      <c r="AH63" s="3">
        <v>0</v>
      </c>
      <c r="AI63" s="3">
        <v>0</v>
      </c>
      <c r="AJ63" s="3">
        <v>0.97478991596638698</v>
      </c>
      <c r="AK63" s="3">
        <v>0</v>
      </c>
      <c r="AL63" s="3">
        <v>2.5210084033613401E-2</v>
      </c>
      <c r="AM63" s="3">
        <v>0</v>
      </c>
      <c r="AN63" s="3" t="s">
        <v>55</v>
      </c>
      <c r="AO63" s="3">
        <v>3.90625</v>
      </c>
      <c r="AP63" s="3">
        <v>2.9755775577557801</v>
      </c>
      <c r="AQ63" s="3" t="s">
        <v>688</v>
      </c>
      <c r="AR63" s="3" t="s">
        <v>689</v>
      </c>
      <c r="AS63" s="3" t="s">
        <v>690</v>
      </c>
      <c r="AT63" s="3" t="s">
        <v>636</v>
      </c>
      <c r="AU63" s="4">
        <v>1</v>
      </c>
      <c r="AV63" s="5">
        <v>0.98009999999999997</v>
      </c>
      <c r="AW63" s="10" t="s">
        <v>691</v>
      </c>
      <c r="AX63" s="6" t="s">
        <v>692</v>
      </c>
    </row>
    <row r="64" spans="1:50" x14ac:dyDescent="0.2">
      <c r="A64" s="3" t="s">
        <v>449</v>
      </c>
      <c r="B64" s="3" t="s">
        <v>77</v>
      </c>
      <c r="C64" s="3">
        <v>452759354</v>
      </c>
      <c r="D64" s="3" t="s">
        <v>44</v>
      </c>
      <c r="E64" s="3" t="s">
        <v>46</v>
      </c>
      <c r="F64" s="3" t="s">
        <v>45</v>
      </c>
      <c r="G64" s="3" t="s">
        <v>46</v>
      </c>
      <c r="H64" s="3" t="s">
        <v>86</v>
      </c>
      <c r="I64" s="3" t="s">
        <v>432</v>
      </c>
      <c r="J64" s="20" t="s">
        <v>450</v>
      </c>
      <c r="K64" s="3">
        <v>0.40595611285266497</v>
      </c>
      <c r="L64" s="3">
        <v>319</v>
      </c>
      <c r="M64" s="3">
        <v>-0.80978825861602699</v>
      </c>
      <c r="N64" s="3">
        <v>2.5078725547451799E-3</v>
      </c>
      <c r="O64" s="3">
        <v>9.1216790810173698E-2</v>
      </c>
      <c r="P64" s="3">
        <v>37</v>
      </c>
      <c r="Q64" s="3">
        <v>0</v>
      </c>
      <c r="R64" s="3">
        <v>0</v>
      </c>
      <c r="S64" s="3">
        <v>135</v>
      </c>
      <c r="T64" s="3">
        <v>185</v>
      </c>
      <c r="U64" s="3">
        <v>0</v>
      </c>
      <c r="V64" s="3">
        <v>0</v>
      </c>
      <c r="W64" s="3">
        <v>0</v>
      </c>
      <c r="X64" s="3">
        <v>0</v>
      </c>
      <c r="Y64" s="3">
        <v>0</v>
      </c>
      <c r="Z64" s="3">
        <v>0</v>
      </c>
      <c r="AA64" s="3">
        <v>0.51820728291316498</v>
      </c>
      <c r="AB64" s="3">
        <v>0</v>
      </c>
      <c r="AC64" s="3">
        <v>0</v>
      </c>
      <c r="AD64" s="3">
        <v>0</v>
      </c>
      <c r="AE64" s="3">
        <v>0</v>
      </c>
      <c r="AF64" s="3">
        <v>0.103641456582633</v>
      </c>
      <c r="AG64" s="3">
        <v>0.378151260504202</v>
      </c>
      <c r="AH64" s="3">
        <v>0</v>
      </c>
      <c r="AI64" s="3">
        <v>0</v>
      </c>
      <c r="AJ64" s="3">
        <v>0</v>
      </c>
      <c r="AK64" s="3">
        <v>0</v>
      </c>
      <c r="AL64" s="3">
        <v>0.29271708683473402</v>
      </c>
      <c r="AM64" s="3">
        <v>0.70728291316526604</v>
      </c>
      <c r="AN64" s="3">
        <v>4.4774193548387098</v>
      </c>
      <c r="AO64" s="3">
        <v>2.5032000000000001</v>
      </c>
      <c r="AP64" s="3">
        <v>3.1435582822085899</v>
      </c>
      <c r="AQ64" s="3" t="s">
        <v>914</v>
      </c>
      <c r="AR64" s="3"/>
      <c r="AS64" s="3" t="s">
        <v>635</v>
      </c>
      <c r="AT64" s="3" t="s">
        <v>636</v>
      </c>
      <c r="AU64" s="4">
        <v>0.83</v>
      </c>
      <c r="AV64" s="5">
        <v>0.85799999999999998</v>
      </c>
      <c r="AW64" s="6"/>
      <c r="AX64" s="6"/>
    </row>
    <row r="65" spans="1:50" x14ac:dyDescent="0.2">
      <c r="A65" s="3" t="s">
        <v>451</v>
      </c>
      <c r="B65" s="3" t="s">
        <v>108</v>
      </c>
      <c r="C65" s="3">
        <v>26394652</v>
      </c>
      <c r="D65" s="3" t="s">
        <v>260</v>
      </c>
      <c r="E65" s="3" t="s">
        <v>53</v>
      </c>
      <c r="F65" s="3" t="s">
        <v>59</v>
      </c>
      <c r="G65" s="3" t="s">
        <v>59</v>
      </c>
      <c r="H65" s="3" t="s">
        <v>86</v>
      </c>
      <c r="I65" s="3" t="s">
        <v>432</v>
      </c>
      <c r="J65" s="20" t="s">
        <v>452</v>
      </c>
      <c r="K65" s="3">
        <v>1.5673981191222099E-3</v>
      </c>
      <c r="L65" s="3">
        <v>319</v>
      </c>
      <c r="M65" s="3">
        <v>-11.0260498052528</v>
      </c>
      <c r="N65" s="3">
        <v>9.8135565743742693E-4</v>
      </c>
      <c r="O65" s="3">
        <v>8.4199251333439094</v>
      </c>
      <c r="P65" s="3">
        <v>0</v>
      </c>
      <c r="Q65" s="3">
        <v>0</v>
      </c>
      <c r="R65" s="3">
        <v>247</v>
      </c>
      <c r="S65" s="3">
        <v>0</v>
      </c>
      <c r="T65" s="3">
        <v>0</v>
      </c>
      <c r="U65" s="3">
        <v>2</v>
      </c>
      <c r="V65" s="3">
        <v>0</v>
      </c>
      <c r="W65" s="3">
        <v>0</v>
      </c>
      <c r="X65" s="3">
        <v>108</v>
      </c>
      <c r="Y65" s="3">
        <v>0</v>
      </c>
      <c r="Z65" s="3">
        <v>0</v>
      </c>
      <c r="AA65" s="3">
        <v>0</v>
      </c>
      <c r="AB65" s="3">
        <v>5.60224089635854E-3</v>
      </c>
      <c r="AC65" s="3">
        <v>0.30252100840336099</v>
      </c>
      <c r="AD65" s="3">
        <v>0.69187675070027999</v>
      </c>
      <c r="AE65" s="3">
        <v>0</v>
      </c>
      <c r="AF65" s="3">
        <v>0</v>
      </c>
      <c r="AG65" s="3">
        <v>0</v>
      </c>
      <c r="AH65" s="3">
        <v>0</v>
      </c>
      <c r="AI65" s="3">
        <v>0</v>
      </c>
      <c r="AJ65" s="3">
        <v>0.84313725490196101</v>
      </c>
      <c r="AK65" s="3">
        <v>0.15686274509803899</v>
      </c>
      <c r="AL65" s="3">
        <v>0</v>
      </c>
      <c r="AM65" s="3">
        <v>0</v>
      </c>
      <c r="AN65" s="3">
        <v>2.1</v>
      </c>
      <c r="AO65" s="3">
        <v>2.5715789473684199</v>
      </c>
      <c r="AP65" s="3">
        <v>3.2183856502242199</v>
      </c>
      <c r="AQ65" s="3"/>
      <c r="AR65" s="3"/>
      <c r="AS65" s="3"/>
      <c r="AT65" s="3"/>
      <c r="AU65" s="3"/>
      <c r="AV65" s="3"/>
      <c r="AW65" s="6"/>
      <c r="AX65" s="6"/>
    </row>
    <row r="66" spans="1:50" x14ac:dyDescent="0.2">
      <c r="A66" s="3" t="s">
        <v>453</v>
      </c>
      <c r="B66" s="3" t="s">
        <v>108</v>
      </c>
      <c r="C66" s="3">
        <v>49596960</v>
      </c>
      <c r="D66" s="3" t="s">
        <v>58</v>
      </c>
      <c r="E66" s="3" t="s">
        <v>59</v>
      </c>
      <c r="F66" s="3" t="s">
        <v>46</v>
      </c>
      <c r="G66" s="3" t="s">
        <v>46</v>
      </c>
      <c r="H66" s="3" t="s">
        <v>86</v>
      </c>
      <c r="I66" s="3" t="s">
        <v>432</v>
      </c>
      <c r="J66" s="20" t="s">
        <v>454</v>
      </c>
      <c r="K66" s="3">
        <v>3.13479623824453E-3</v>
      </c>
      <c r="L66" s="3">
        <v>319</v>
      </c>
      <c r="M66" s="3">
        <v>-10.2048414032599</v>
      </c>
      <c r="N66" s="20" t="s">
        <v>439</v>
      </c>
      <c r="O66" s="20" t="s">
        <v>455</v>
      </c>
      <c r="P66" s="3">
        <v>98</v>
      </c>
      <c r="Q66" s="3">
        <v>0</v>
      </c>
      <c r="R66" s="3">
        <v>0</v>
      </c>
      <c r="S66" s="3">
        <v>0</v>
      </c>
      <c r="T66" s="3">
        <v>0</v>
      </c>
      <c r="U66" s="3">
        <v>105</v>
      </c>
      <c r="V66" s="3">
        <v>154</v>
      </c>
      <c r="W66" s="3">
        <v>0</v>
      </c>
      <c r="X66" s="3">
        <v>0</v>
      </c>
      <c r="Y66" s="3">
        <v>0</v>
      </c>
      <c r="Z66" s="3">
        <v>0</v>
      </c>
      <c r="AA66" s="3">
        <v>0</v>
      </c>
      <c r="AB66" s="3">
        <v>0.29411764705882398</v>
      </c>
      <c r="AC66" s="3">
        <v>0</v>
      </c>
      <c r="AD66" s="3">
        <v>0</v>
      </c>
      <c r="AE66" s="3">
        <v>0</v>
      </c>
      <c r="AF66" s="3">
        <v>0.27450980392156898</v>
      </c>
      <c r="AG66" s="3">
        <v>0</v>
      </c>
      <c r="AH66" s="3">
        <v>0</v>
      </c>
      <c r="AI66" s="3">
        <v>0.43137254901960798</v>
      </c>
      <c r="AJ66" s="3">
        <v>0</v>
      </c>
      <c r="AK66" s="3">
        <v>0.50980392156862697</v>
      </c>
      <c r="AL66" s="3">
        <v>0.49019607843137297</v>
      </c>
      <c r="AM66" s="3">
        <v>0</v>
      </c>
      <c r="AN66" s="3">
        <v>3.2163043478260902</v>
      </c>
      <c r="AO66" s="3">
        <v>3.0582733812949598</v>
      </c>
      <c r="AP66" s="3">
        <v>2.7625000000000002</v>
      </c>
      <c r="AQ66" s="3" t="s">
        <v>693</v>
      </c>
      <c r="AR66" s="3" t="s">
        <v>635</v>
      </c>
      <c r="AS66" s="3" t="s">
        <v>635</v>
      </c>
      <c r="AT66" s="3" t="s">
        <v>636</v>
      </c>
      <c r="AU66" s="4">
        <v>0.99</v>
      </c>
      <c r="AV66" s="5">
        <v>0.77500000000000002</v>
      </c>
      <c r="AW66" s="6"/>
      <c r="AX66" s="6"/>
    </row>
    <row r="67" spans="1:50" ht="210" x14ac:dyDescent="0.2">
      <c r="A67" s="3" t="s">
        <v>456</v>
      </c>
      <c r="B67" s="3" t="s">
        <v>113</v>
      </c>
      <c r="C67" s="3">
        <v>505205092</v>
      </c>
      <c r="D67" s="3" t="s">
        <v>52</v>
      </c>
      <c r="E67" s="3" t="s">
        <v>46</v>
      </c>
      <c r="F67" s="3" t="s">
        <v>53</v>
      </c>
      <c r="G67" s="3" t="s">
        <v>53</v>
      </c>
      <c r="H67" s="3" t="s">
        <v>86</v>
      </c>
      <c r="I67" s="3" t="s">
        <v>432</v>
      </c>
      <c r="J67" s="20" t="s">
        <v>457</v>
      </c>
      <c r="K67" s="3">
        <v>1.2539184952978E-2</v>
      </c>
      <c r="L67" s="3">
        <v>319</v>
      </c>
      <c r="M67" s="3">
        <v>-4.70100158931763</v>
      </c>
      <c r="N67" s="20" t="s">
        <v>458</v>
      </c>
      <c r="O67" s="3">
        <v>0</v>
      </c>
      <c r="P67" s="3">
        <v>357</v>
      </c>
      <c r="Q67" s="3">
        <v>0</v>
      </c>
      <c r="R67" s="3">
        <v>0</v>
      </c>
      <c r="S67" s="3">
        <v>0</v>
      </c>
      <c r="T67" s="3">
        <v>0</v>
      </c>
      <c r="U67" s="3">
        <v>0</v>
      </c>
      <c r="V67" s="3">
        <v>0</v>
      </c>
      <c r="W67" s="3">
        <v>0</v>
      </c>
      <c r="X67" s="3">
        <v>0</v>
      </c>
      <c r="Y67" s="3">
        <v>0</v>
      </c>
      <c r="Z67" s="3">
        <v>0</v>
      </c>
      <c r="AA67" s="3">
        <v>0</v>
      </c>
      <c r="AB67" s="3">
        <v>0</v>
      </c>
      <c r="AC67" s="3">
        <v>0</v>
      </c>
      <c r="AD67" s="3">
        <v>0</v>
      </c>
      <c r="AE67" s="3">
        <v>0</v>
      </c>
      <c r="AF67" s="3">
        <v>1</v>
      </c>
      <c r="AG67" s="3">
        <v>0</v>
      </c>
      <c r="AH67" s="3">
        <v>0</v>
      </c>
      <c r="AI67" s="3">
        <v>0</v>
      </c>
      <c r="AJ67" s="3">
        <v>0</v>
      </c>
      <c r="AK67" s="3">
        <v>0</v>
      </c>
      <c r="AL67" s="3">
        <v>1</v>
      </c>
      <c r="AM67" s="3">
        <v>0</v>
      </c>
      <c r="AN67" s="3" t="s">
        <v>55</v>
      </c>
      <c r="AO67" s="3" t="s">
        <v>55</v>
      </c>
      <c r="AP67" s="3">
        <v>3.0222570532915398</v>
      </c>
      <c r="AQ67" s="3" t="s">
        <v>694</v>
      </c>
      <c r="AR67" s="3" t="s">
        <v>695</v>
      </c>
      <c r="AS67" s="3" t="s">
        <v>696</v>
      </c>
      <c r="AT67" s="3" t="s">
        <v>636</v>
      </c>
      <c r="AU67" s="4">
        <v>1</v>
      </c>
      <c r="AV67" s="5">
        <v>0.97009999999999996</v>
      </c>
      <c r="AW67" s="11" t="s">
        <v>697</v>
      </c>
      <c r="AX67" s="6" t="s">
        <v>916</v>
      </c>
    </row>
    <row r="68" spans="1:50" ht="182" x14ac:dyDescent="0.2">
      <c r="A68" s="3" t="s">
        <v>518</v>
      </c>
      <c r="B68" s="3" t="s">
        <v>90</v>
      </c>
      <c r="C68" s="3">
        <v>517769933</v>
      </c>
      <c r="D68" s="3" t="s">
        <v>109</v>
      </c>
      <c r="E68" s="3" t="s">
        <v>59</v>
      </c>
      <c r="F68" s="3" t="s">
        <v>45</v>
      </c>
      <c r="G68" s="3" t="s">
        <v>45</v>
      </c>
      <c r="H68" s="3" t="s">
        <v>86</v>
      </c>
      <c r="I68" s="3" t="s">
        <v>519</v>
      </c>
      <c r="J68" s="20" t="s">
        <v>520</v>
      </c>
      <c r="K68" s="3">
        <v>9.3167701863353693E-3</v>
      </c>
      <c r="L68" s="3">
        <v>322</v>
      </c>
      <c r="M68" s="3">
        <v>-0.41363041836321401</v>
      </c>
      <c r="N68" s="3">
        <v>1.7546641648220299E-4</v>
      </c>
      <c r="O68" s="20" t="s">
        <v>521</v>
      </c>
      <c r="P68" s="3">
        <v>0</v>
      </c>
      <c r="Q68" s="3">
        <v>0</v>
      </c>
      <c r="R68" s="3">
        <v>0</v>
      </c>
      <c r="S68" s="3">
        <v>0</v>
      </c>
      <c r="T68" s="3">
        <v>6</v>
      </c>
      <c r="U68" s="3">
        <v>187</v>
      </c>
      <c r="V68" s="3">
        <v>0</v>
      </c>
      <c r="W68" s="3">
        <v>164</v>
      </c>
      <c r="X68" s="3">
        <v>0</v>
      </c>
      <c r="Y68" s="3">
        <v>0</v>
      </c>
      <c r="Z68" s="3">
        <v>0.45938375350140098</v>
      </c>
      <c r="AA68" s="3">
        <v>1.6806722689075598E-2</v>
      </c>
      <c r="AB68" s="3">
        <v>0.52380952380952395</v>
      </c>
      <c r="AC68" s="3">
        <v>0</v>
      </c>
      <c r="AD68" s="3">
        <v>0</v>
      </c>
      <c r="AE68" s="3">
        <v>0</v>
      </c>
      <c r="AF68" s="3">
        <v>0</v>
      </c>
      <c r="AG68" s="3">
        <v>0</v>
      </c>
      <c r="AH68" s="3">
        <v>0</v>
      </c>
      <c r="AI68" s="3">
        <v>0</v>
      </c>
      <c r="AJ68" s="3">
        <v>0</v>
      </c>
      <c r="AK68" s="3">
        <v>0.75350140056022397</v>
      </c>
      <c r="AL68" s="3">
        <v>0</v>
      </c>
      <c r="AM68" s="3">
        <v>0.24649859943977601</v>
      </c>
      <c r="AN68" s="3">
        <v>0.15</v>
      </c>
      <c r="AO68" s="3">
        <v>0.108965517241379</v>
      </c>
      <c r="AP68" s="3">
        <v>0.135672514619883</v>
      </c>
      <c r="AQ68" s="3" t="s">
        <v>698</v>
      </c>
      <c r="AR68" s="3" t="s">
        <v>699</v>
      </c>
      <c r="AS68" s="3" t="s">
        <v>700</v>
      </c>
      <c r="AT68" s="3" t="s">
        <v>636</v>
      </c>
      <c r="AU68" s="4">
        <v>1</v>
      </c>
      <c r="AV68" s="4">
        <v>0.99</v>
      </c>
      <c r="AW68" s="11" t="s">
        <v>701</v>
      </c>
      <c r="AX68" s="6" t="s">
        <v>917</v>
      </c>
    </row>
    <row r="69" spans="1:50" ht="56" x14ac:dyDescent="0.2">
      <c r="A69" s="3" t="s">
        <v>522</v>
      </c>
      <c r="B69" s="3" t="s">
        <v>120</v>
      </c>
      <c r="C69" s="3">
        <v>552460009</v>
      </c>
      <c r="D69" s="3" t="s">
        <v>71</v>
      </c>
      <c r="E69" s="3" t="s">
        <v>45</v>
      </c>
      <c r="F69" s="3" t="s">
        <v>59</v>
      </c>
      <c r="G69" s="3" t="s">
        <v>59</v>
      </c>
      <c r="H69" s="3" t="s">
        <v>86</v>
      </c>
      <c r="I69" s="3" t="s">
        <v>519</v>
      </c>
      <c r="J69" s="20" t="s">
        <v>523</v>
      </c>
      <c r="K69" s="3">
        <v>1.5527950310558799E-3</v>
      </c>
      <c r="L69" s="3">
        <v>322</v>
      </c>
      <c r="M69" s="3">
        <v>-2.3290201585775598</v>
      </c>
      <c r="N69" s="20" t="s">
        <v>524</v>
      </c>
      <c r="O69" s="3">
        <v>0</v>
      </c>
      <c r="P69" s="3">
        <v>0</v>
      </c>
      <c r="Q69" s="3">
        <v>0</v>
      </c>
      <c r="R69" s="3">
        <v>0</v>
      </c>
      <c r="S69" s="3">
        <v>0</v>
      </c>
      <c r="T69" s="3">
        <v>349</v>
      </c>
      <c r="U69" s="3">
        <v>4</v>
      </c>
      <c r="V69" s="3">
        <v>0</v>
      </c>
      <c r="W69" s="3">
        <v>4</v>
      </c>
      <c r="X69" s="3">
        <v>0</v>
      </c>
      <c r="Y69" s="3">
        <v>0</v>
      </c>
      <c r="Z69" s="3">
        <v>1.1204481792717101E-2</v>
      </c>
      <c r="AA69" s="3">
        <v>0.97759103641456602</v>
      </c>
      <c r="AB69" s="3">
        <v>1.1204481792717101E-2</v>
      </c>
      <c r="AC69" s="3">
        <v>0</v>
      </c>
      <c r="AD69" s="3">
        <v>0</v>
      </c>
      <c r="AE69" s="3">
        <v>0</v>
      </c>
      <c r="AF69" s="3">
        <v>0</v>
      </c>
      <c r="AG69" s="3">
        <v>0</v>
      </c>
      <c r="AH69" s="3">
        <v>0</v>
      </c>
      <c r="AI69" s="3">
        <v>0</v>
      </c>
      <c r="AJ69" s="3">
        <v>0</v>
      </c>
      <c r="AK69" s="3">
        <v>1.6806722689075598E-2</v>
      </c>
      <c r="AL69" s="3">
        <v>0</v>
      </c>
      <c r="AM69" s="3">
        <v>0.98319327731092399</v>
      </c>
      <c r="AN69" s="3">
        <v>0</v>
      </c>
      <c r="AO69" s="3">
        <v>0.1</v>
      </c>
      <c r="AP69" s="3">
        <v>0.125714285714286</v>
      </c>
      <c r="AQ69" s="3" t="s">
        <v>702</v>
      </c>
      <c r="AR69" s="3" t="s">
        <v>703</v>
      </c>
      <c r="AS69" s="3" t="s">
        <v>704</v>
      </c>
      <c r="AT69" s="3" t="s">
        <v>636</v>
      </c>
      <c r="AU69" s="4">
        <v>1</v>
      </c>
      <c r="AV69" s="5">
        <v>0.94199999999999995</v>
      </c>
      <c r="AW69" s="8" t="s">
        <v>706</v>
      </c>
      <c r="AX69" s="6"/>
    </row>
    <row r="70" spans="1:50" x14ac:dyDescent="0.2">
      <c r="A70" s="3" t="s">
        <v>440</v>
      </c>
      <c r="B70" s="3" t="s">
        <v>152</v>
      </c>
      <c r="C70" s="3">
        <v>421470788</v>
      </c>
      <c r="D70" s="3" t="s">
        <v>127</v>
      </c>
      <c r="E70" s="3" t="s">
        <v>45</v>
      </c>
      <c r="F70" s="3" t="s">
        <v>53</v>
      </c>
      <c r="G70" s="3" t="s">
        <v>53</v>
      </c>
      <c r="H70" s="3" t="s">
        <v>86</v>
      </c>
      <c r="I70" s="3" t="s">
        <v>519</v>
      </c>
      <c r="J70" s="20" t="s">
        <v>525</v>
      </c>
      <c r="K70" s="3">
        <v>2.3291925465838501E-2</v>
      </c>
      <c r="L70" s="3">
        <v>322</v>
      </c>
      <c r="M70" s="3">
        <v>-0.39716700876795002</v>
      </c>
      <c r="N70" s="20" t="s">
        <v>526</v>
      </c>
      <c r="O70" s="3">
        <v>0</v>
      </c>
      <c r="P70" s="3">
        <v>0</v>
      </c>
      <c r="Q70" s="3">
        <v>0</v>
      </c>
      <c r="R70" s="3">
        <v>3</v>
      </c>
      <c r="S70" s="3">
        <v>0</v>
      </c>
      <c r="T70" s="3">
        <v>302</v>
      </c>
      <c r="U70" s="3">
        <v>0</v>
      </c>
      <c r="V70" s="3">
        <v>0</v>
      </c>
      <c r="W70" s="3">
        <v>0</v>
      </c>
      <c r="X70" s="3">
        <v>0</v>
      </c>
      <c r="Y70" s="3">
        <v>52</v>
      </c>
      <c r="Z70" s="3">
        <v>0</v>
      </c>
      <c r="AA70" s="3">
        <v>0.84593837535014005</v>
      </c>
      <c r="AB70" s="3">
        <v>0</v>
      </c>
      <c r="AC70" s="3">
        <v>0</v>
      </c>
      <c r="AD70" s="3">
        <v>8.4033613445378096E-3</v>
      </c>
      <c r="AE70" s="3">
        <v>0</v>
      </c>
      <c r="AF70" s="3">
        <v>0</v>
      </c>
      <c r="AG70" s="3">
        <v>0</v>
      </c>
      <c r="AH70" s="3">
        <v>0.145658263305322</v>
      </c>
      <c r="AI70" s="3">
        <v>0</v>
      </c>
      <c r="AJ70" s="3">
        <v>8.1232492997198896E-2</v>
      </c>
      <c r="AK70" s="3">
        <v>0</v>
      </c>
      <c r="AL70" s="3">
        <v>0</v>
      </c>
      <c r="AM70" s="3">
        <v>0.91876750700280096</v>
      </c>
      <c r="AN70" s="3">
        <v>0.16666666666666699</v>
      </c>
      <c r="AO70" s="3">
        <v>6.6000000000000003E-2</v>
      </c>
      <c r="AP70" s="3">
        <v>0.13420074349442401</v>
      </c>
      <c r="AQ70" s="3"/>
      <c r="AR70" s="3"/>
      <c r="AS70" s="3"/>
      <c r="AT70" s="3"/>
      <c r="AU70" s="3"/>
      <c r="AV70" s="3"/>
      <c r="AW70" s="6"/>
      <c r="AX70" s="6"/>
    </row>
    <row r="71" spans="1:50" x14ac:dyDescent="0.2">
      <c r="A71" s="3" t="s">
        <v>527</v>
      </c>
      <c r="B71" s="3" t="s">
        <v>152</v>
      </c>
      <c r="C71" s="3">
        <v>603983512</v>
      </c>
      <c r="D71" s="3" t="s">
        <v>71</v>
      </c>
      <c r="E71" s="3" t="s">
        <v>59</v>
      </c>
      <c r="F71" s="3" t="s">
        <v>45</v>
      </c>
      <c r="G71" s="3" t="s">
        <v>59</v>
      </c>
      <c r="H71" s="3" t="s">
        <v>86</v>
      </c>
      <c r="I71" s="3" t="s">
        <v>519</v>
      </c>
      <c r="J71" s="20" t="s">
        <v>528</v>
      </c>
      <c r="K71" s="3">
        <v>1.5527950310558799E-3</v>
      </c>
      <c r="L71" s="3">
        <v>322</v>
      </c>
      <c r="M71" s="3">
        <v>-0.97290991904358703</v>
      </c>
      <c r="N71" s="3">
        <v>2.1496810677513298E-3</v>
      </c>
      <c r="O71" s="3">
        <v>0</v>
      </c>
      <c r="P71" s="3">
        <v>0</v>
      </c>
      <c r="Q71" s="3">
        <v>0</v>
      </c>
      <c r="R71" s="3">
        <v>0</v>
      </c>
      <c r="S71" s="3">
        <v>0</v>
      </c>
      <c r="T71" s="3">
        <v>175</v>
      </c>
      <c r="U71" s="3">
        <v>41</v>
      </c>
      <c r="V71" s="3">
        <v>0</v>
      </c>
      <c r="W71" s="3">
        <v>141</v>
      </c>
      <c r="X71" s="3">
        <v>0</v>
      </c>
      <c r="Y71" s="3">
        <v>0</v>
      </c>
      <c r="Z71" s="3">
        <v>0.39495798319327702</v>
      </c>
      <c r="AA71" s="3">
        <v>0.49019607843137297</v>
      </c>
      <c r="AB71" s="3">
        <v>0.11484593837535</v>
      </c>
      <c r="AC71" s="3">
        <v>0</v>
      </c>
      <c r="AD71" s="3">
        <v>0</v>
      </c>
      <c r="AE71" s="3">
        <v>0</v>
      </c>
      <c r="AF71" s="3">
        <v>0</v>
      </c>
      <c r="AG71" s="3">
        <v>0</v>
      </c>
      <c r="AH71" s="3">
        <v>0</v>
      </c>
      <c r="AI71" s="3">
        <v>0</v>
      </c>
      <c r="AJ71" s="3">
        <v>0</v>
      </c>
      <c r="AK71" s="3">
        <v>0.31232492997198902</v>
      </c>
      <c r="AL71" s="3">
        <v>0</v>
      </c>
      <c r="AM71" s="3">
        <v>0.68767507002801098</v>
      </c>
      <c r="AN71" s="3">
        <v>9.4736842105263105E-2</v>
      </c>
      <c r="AO71" s="3">
        <v>0.10390625000000001</v>
      </c>
      <c r="AP71" s="3">
        <v>0.147435897435897</v>
      </c>
      <c r="AQ71" s="3" t="s">
        <v>707</v>
      </c>
      <c r="AR71" s="3" t="s">
        <v>708</v>
      </c>
      <c r="AS71" s="3" t="s">
        <v>913</v>
      </c>
      <c r="AT71" s="3"/>
      <c r="AU71" s="3"/>
      <c r="AV71" s="3"/>
      <c r="AW71" s="6"/>
      <c r="AX71" s="6"/>
    </row>
    <row r="72" spans="1:50" ht="154" x14ac:dyDescent="0.2">
      <c r="A72" s="3" t="s">
        <v>529</v>
      </c>
      <c r="B72" s="3" t="s">
        <v>97</v>
      </c>
      <c r="C72" s="3">
        <v>486726932</v>
      </c>
      <c r="D72" s="3" t="s">
        <v>139</v>
      </c>
      <c r="E72" s="3" t="s">
        <v>46</v>
      </c>
      <c r="F72" s="3" t="s">
        <v>45</v>
      </c>
      <c r="G72" s="3" t="s">
        <v>45</v>
      </c>
      <c r="H72" s="3" t="s">
        <v>86</v>
      </c>
      <c r="I72" s="3" t="s">
        <v>519</v>
      </c>
      <c r="J72" s="20" t="s">
        <v>530</v>
      </c>
      <c r="K72" s="3">
        <v>2.4844720496894498E-2</v>
      </c>
      <c r="L72" s="3">
        <v>322</v>
      </c>
      <c r="M72" s="3">
        <v>0.25457966308713098</v>
      </c>
      <c r="N72" s="20" t="s">
        <v>531</v>
      </c>
      <c r="O72" s="3">
        <v>0</v>
      </c>
      <c r="P72" s="3">
        <v>297</v>
      </c>
      <c r="Q72" s="3">
        <v>0</v>
      </c>
      <c r="R72" s="3">
        <v>0</v>
      </c>
      <c r="S72" s="3">
        <v>59</v>
      </c>
      <c r="T72" s="3">
        <v>1</v>
      </c>
      <c r="U72" s="3">
        <v>0</v>
      </c>
      <c r="V72" s="3">
        <v>0</v>
      </c>
      <c r="W72" s="3">
        <v>0</v>
      </c>
      <c r="X72" s="3">
        <v>0</v>
      </c>
      <c r="Y72" s="3">
        <v>0</v>
      </c>
      <c r="Z72" s="3">
        <v>0</v>
      </c>
      <c r="AA72" s="3">
        <v>2.80112044817927E-3</v>
      </c>
      <c r="AB72" s="3">
        <v>0</v>
      </c>
      <c r="AC72" s="3">
        <v>0</v>
      </c>
      <c r="AD72" s="3">
        <v>0</v>
      </c>
      <c r="AE72" s="3">
        <v>0</v>
      </c>
      <c r="AF72" s="3">
        <v>0.83193277310924396</v>
      </c>
      <c r="AG72" s="3">
        <v>0.165266106442577</v>
      </c>
      <c r="AH72" s="3">
        <v>0</v>
      </c>
      <c r="AI72" s="3">
        <v>0</v>
      </c>
      <c r="AJ72" s="3">
        <v>0</v>
      </c>
      <c r="AK72" s="3">
        <v>0</v>
      </c>
      <c r="AL72" s="3">
        <v>0.91456582633053196</v>
      </c>
      <c r="AM72" s="3">
        <v>8.5434173669467803E-2</v>
      </c>
      <c r="AN72" s="3">
        <v>0</v>
      </c>
      <c r="AO72" s="3">
        <v>0.105660377358491</v>
      </c>
      <c r="AP72" s="3">
        <v>0.12798507462686601</v>
      </c>
      <c r="AQ72" s="3" t="s">
        <v>709</v>
      </c>
      <c r="AR72" s="3" t="s">
        <v>710</v>
      </c>
      <c r="AS72" s="3" t="s">
        <v>913</v>
      </c>
      <c r="AT72" s="3"/>
      <c r="AU72" s="3"/>
      <c r="AV72" s="3"/>
      <c r="AW72" s="13" t="s">
        <v>912</v>
      </c>
      <c r="AX72" s="6" t="s">
        <v>918</v>
      </c>
    </row>
    <row r="73" spans="1:50" ht="70" x14ac:dyDescent="0.2">
      <c r="A73" s="3" t="s">
        <v>446</v>
      </c>
      <c r="B73" s="3" t="s">
        <v>70</v>
      </c>
      <c r="C73" s="3">
        <v>301996644</v>
      </c>
      <c r="D73" s="3" t="s">
        <v>67</v>
      </c>
      <c r="E73" s="3" t="s">
        <v>46</v>
      </c>
      <c r="F73" s="3" t="s">
        <v>53</v>
      </c>
      <c r="G73" s="3" t="s">
        <v>46</v>
      </c>
      <c r="H73" s="3" t="s">
        <v>86</v>
      </c>
      <c r="I73" s="3" t="s">
        <v>519</v>
      </c>
      <c r="J73" s="20" t="s">
        <v>532</v>
      </c>
      <c r="K73" s="3">
        <v>1.5527950310558799E-3</v>
      </c>
      <c r="L73" s="3">
        <v>322</v>
      </c>
      <c r="M73" s="3">
        <v>-2.2649164224387399</v>
      </c>
      <c r="N73" s="20" t="s">
        <v>533</v>
      </c>
      <c r="O73" s="20" t="s">
        <v>534</v>
      </c>
      <c r="P73" s="3">
        <v>0</v>
      </c>
      <c r="Q73" s="3">
        <v>18</v>
      </c>
      <c r="R73" s="3">
        <v>339</v>
      </c>
      <c r="S73" s="3">
        <v>0</v>
      </c>
      <c r="T73" s="3">
        <v>0</v>
      </c>
      <c r="U73" s="3">
        <v>0</v>
      </c>
      <c r="V73" s="3">
        <v>0</v>
      </c>
      <c r="W73" s="3">
        <v>0</v>
      </c>
      <c r="X73" s="3">
        <v>0</v>
      </c>
      <c r="Y73" s="3">
        <v>0</v>
      </c>
      <c r="Z73" s="3">
        <v>0</v>
      </c>
      <c r="AA73" s="3">
        <v>0</v>
      </c>
      <c r="AB73" s="3">
        <v>0</v>
      </c>
      <c r="AC73" s="3">
        <v>0</v>
      </c>
      <c r="AD73" s="3">
        <v>0.94957983193277296</v>
      </c>
      <c r="AE73" s="3">
        <v>5.0420168067226899E-2</v>
      </c>
      <c r="AF73" s="3">
        <v>0</v>
      </c>
      <c r="AG73" s="3">
        <v>0</v>
      </c>
      <c r="AH73" s="3">
        <v>0</v>
      </c>
      <c r="AI73" s="3">
        <v>0</v>
      </c>
      <c r="AJ73" s="3">
        <v>0.97478991596638698</v>
      </c>
      <c r="AK73" s="3">
        <v>0</v>
      </c>
      <c r="AL73" s="3">
        <v>2.5210084033613401E-2</v>
      </c>
      <c r="AM73" s="3">
        <v>0</v>
      </c>
      <c r="AN73" s="3" t="s">
        <v>55</v>
      </c>
      <c r="AO73" s="3">
        <v>5.5555555555555601E-2</v>
      </c>
      <c r="AP73" s="3">
        <v>0.127960526315789</v>
      </c>
      <c r="AQ73" s="3" t="s">
        <v>688</v>
      </c>
      <c r="AR73" s="3" t="s">
        <v>711</v>
      </c>
      <c r="AS73" s="3" t="s">
        <v>712</v>
      </c>
      <c r="AT73" s="3" t="s">
        <v>636</v>
      </c>
      <c r="AU73" s="4">
        <v>1</v>
      </c>
      <c r="AV73" s="5">
        <v>0.98009999999999997</v>
      </c>
      <c r="AW73" s="10" t="s">
        <v>691</v>
      </c>
      <c r="AX73" s="6" t="s">
        <v>692</v>
      </c>
    </row>
    <row r="74" spans="1:50" x14ac:dyDescent="0.2">
      <c r="A74" s="3" t="s">
        <v>348</v>
      </c>
      <c r="B74" s="3" t="s">
        <v>77</v>
      </c>
      <c r="C74" s="3">
        <v>452036252</v>
      </c>
      <c r="D74" s="3" t="s">
        <v>225</v>
      </c>
      <c r="E74" s="3" t="s">
        <v>59</v>
      </c>
      <c r="F74" s="3" t="s">
        <v>46</v>
      </c>
      <c r="G74" s="3" t="s">
        <v>59</v>
      </c>
      <c r="H74" s="3" t="s">
        <v>86</v>
      </c>
      <c r="I74" s="3" t="s">
        <v>519</v>
      </c>
      <c r="J74" s="20" t="s">
        <v>535</v>
      </c>
      <c r="K74" s="3">
        <v>6.2111801242236099E-3</v>
      </c>
      <c r="L74" s="3">
        <v>322</v>
      </c>
      <c r="M74" s="3">
        <v>-0.33928044923157502</v>
      </c>
      <c r="N74" s="20" t="s">
        <v>536</v>
      </c>
      <c r="O74" s="20" t="s">
        <v>537</v>
      </c>
      <c r="P74" s="3">
        <v>88</v>
      </c>
      <c r="Q74" s="3">
        <v>0</v>
      </c>
      <c r="R74" s="3">
        <v>0</v>
      </c>
      <c r="S74" s="3">
        <v>0</v>
      </c>
      <c r="T74" s="3">
        <v>0</v>
      </c>
      <c r="U74" s="3">
        <v>87</v>
      </c>
      <c r="V74" s="3">
        <v>182</v>
      </c>
      <c r="W74" s="3">
        <v>0</v>
      </c>
      <c r="X74" s="3">
        <v>0</v>
      </c>
      <c r="Y74" s="3">
        <v>0</v>
      </c>
      <c r="Z74" s="3">
        <v>0</v>
      </c>
      <c r="AA74" s="3">
        <v>0</v>
      </c>
      <c r="AB74" s="3">
        <v>0.24369747899159699</v>
      </c>
      <c r="AC74" s="3">
        <v>0</v>
      </c>
      <c r="AD74" s="3">
        <v>0</v>
      </c>
      <c r="AE74" s="3">
        <v>0</v>
      </c>
      <c r="AF74" s="3">
        <v>0.24649859943977601</v>
      </c>
      <c r="AG74" s="3">
        <v>0</v>
      </c>
      <c r="AH74" s="3">
        <v>0</v>
      </c>
      <c r="AI74" s="3">
        <v>0.50980392156862697</v>
      </c>
      <c r="AJ74" s="3">
        <v>0</v>
      </c>
      <c r="AK74" s="3">
        <v>0.49859943977590998</v>
      </c>
      <c r="AL74" s="3">
        <v>0.50140056022408996</v>
      </c>
      <c r="AM74" s="3">
        <v>0</v>
      </c>
      <c r="AN74" s="3">
        <v>0.18461538461538499</v>
      </c>
      <c r="AO74" s="3">
        <v>0.111377245508982</v>
      </c>
      <c r="AP74" s="3">
        <v>8.9610389610389599E-2</v>
      </c>
      <c r="AQ74" s="3"/>
      <c r="AR74" s="3"/>
      <c r="AS74" s="3"/>
      <c r="AT74" s="3"/>
      <c r="AU74" s="3"/>
      <c r="AV74" s="3"/>
      <c r="AW74" s="6"/>
      <c r="AX74" s="6"/>
    </row>
    <row r="75" spans="1:50" x14ac:dyDescent="0.2">
      <c r="A75" s="3" t="s">
        <v>538</v>
      </c>
      <c r="B75" s="3" t="s">
        <v>198</v>
      </c>
      <c r="C75" s="3">
        <v>550625854</v>
      </c>
      <c r="D75" s="3" t="s">
        <v>44</v>
      </c>
      <c r="E75" s="3" t="s">
        <v>45</v>
      </c>
      <c r="F75" s="3" t="s">
        <v>46</v>
      </c>
      <c r="G75" s="3" t="s">
        <v>46</v>
      </c>
      <c r="H75" s="3" t="s">
        <v>86</v>
      </c>
      <c r="I75" s="3" t="s">
        <v>519</v>
      </c>
      <c r="J75" s="20" t="s">
        <v>539</v>
      </c>
      <c r="K75" s="3">
        <v>2.0186335403726701E-2</v>
      </c>
      <c r="L75" s="3">
        <v>322</v>
      </c>
      <c r="M75" s="3">
        <v>0.61648664091459504</v>
      </c>
      <c r="N75" s="3">
        <v>2.5501595050162498E-4</v>
      </c>
      <c r="O75" s="3">
        <v>0</v>
      </c>
      <c r="P75" s="3">
        <v>0</v>
      </c>
      <c r="Q75" s="3">
        <v>0</v>
      </c>
      <c r="R75" s="3">
        <v>0</v>
      </c>
      <c r="S75" s="3">
        <v>16</v>
      </c>
      <c r="T75" s="3">
        <v>341</v>
      </c>
      <c r="U75" s="3">
        <v>0</v>
      </c>
      <c r="V75" s="3">
        <v>0</v>
      </c>
      <c r="W75" s="3">
        <v>0</v>
      </c>
      <c r="X75" s="3">
        <v>0</v>
      </c>
      <c r="Y75" s="3">
        <v>0</v>
      </c>
      <c r="Z75" s="3">
        <v>0</v>
      </c>
      <c r="AA75" s="3">
        <v>0.95518207282913203</v>
      </c>
      <c r="AB75" s="3">
        <v>0</v>
      </c>
      <c r="AC75" s="3">
        <v>0</v>
      </c>
      <c r="AD75" s="3">
        <v>0</v>
      </c>
      <c r="AE75" s="3">
        <v>0</v>
      </c>
      <c r="AF75" s="3">
        <v>0</v>
      </c>
      <c r="AG75" s="3">
        <v>4.4817927170868299E-2</v>
      </c>
      <c r="AH75" s="3">
        <v>0</v>
      </c>
      <c r="AI75" s="3">
        <v>0</v>
      </c>
      <c r="AJ75" s="3">
        <v>0</v>
      </c>
      <c r="AK75" s="3">
        <v>0</v>
      </c>
      <c r="AL75" s="3">
        <v>2.2408963585434202E-2</v>
      </c>
      <c r="AM75" s="3">
        <v>0.97759103641456602</v>
      </c>
      <c r="AN75" s="3" t="s">
        <v>55</v>
      </c>
      <c r="AO75" s="3">
        <v>0.05</v>
      </c>
      <c r="AP75" s="3">
        <v>0.12727272727272701</v>
      </c>
      <c r="AQ75" s="3"/>
      <c r="AR75" s="3"/>
      <c r="AS75" s="3"/>
      <c r="AT75" s="3"/>
      <c r="AU75" s="3"/>
      <c r="AV75" s="3"/>
      <c r="AW75" s="6"/>
      <c r="AX75" s="6"/>
    </row>
    <row r="76" spans="1:50" ht="154" x14ac:dyDescent="0.2">
      <c r="A76" s="3" t="s">
        <v>540</v>
      </c>
      <c r="B76" s="3" t="s">
        <v>198</v>
      </c>
      <c r="C76" s="3">
        <v>564391501</v>
      </c>
      <c r="D76" s="3" t="s">
        <v>71</v>
      </c>
      <c r="E76" s="3" t="s">
        <v>59</v>
      </c>
      <c r="F76" s="3" t="s">
        <v>45</v>
      </c>
      <c r="G76" s="3" t="s">
        <v>59</v>
      </c>
      <c r="H76" s="3" t="s">
        <v>86</v>
      </c>
      <c r="I76" s="3" t="s">
        <v>519</v>
      </c>
      <c r="J76" s="20" t="s">
        <v>541</v>
      </c>
      <c r="K76" s="3">
        <v>2.1739130434782601E-2</v>
      </c>
      <c r="L76" s="3">
        <v>322</v>
      </c>
      <c r="M76" s="3">
        <v>0.53204875056387602</v>
      </c>
      <c r="N76" s="3">
        <v>1.2677801842214399E-4</v>
      </c>
      <c r="O76" s="3">
        <v>0</v>
      </c>
      <c r="P76" s="3">
        <v>0</v>
      </c>
      <c r="Q76" s="3">
        <v>0</v>
      </c>
      <c r="R76" s="3">
        <v>0</v>
      </c>
      <c r="S76" s="3">
        <v>0</v>
      </c>
      <c r="T76" s="3">
        <v>240</v>
      </c>
      <c r="U76" s="3">
        <v>18</v>
      </c>
      <c r="V76" s="3">
        <v>0</v>
      </c>
      <c r="W76" s="3">
        <v>99</v>
      </c>
      <c r="X76" s="3">
        <v>0</v>
      </c>
      <c r="Y76" s="3">
        <v>0</v>
      </c>
      <c r="Z76" s="3">
        <v>0.27731092436974802</v>
      </c>
      <c r="AA76" s="3">
        <v>0.67226890756302504</v>
      </c>
      <c r="AB76" s="3">
        <v>5.0420168067226899E-2</v>
      </c>
      <c r="AC76" s="3">
        <v>0</v>
      </c>
      <c r="AD76" s="3">
        <v>0</v>
      </c>
      <c r="AE76" s="3">
        <v>0</v>
      </c>
      <c r="AF76" s="3">
        <v>0</v>
      </c>
      <c r="AG76" s="3">
        <v>0</v>
      </c>
      <c r="AH76" s="3">
        <v>0</v>
      </c>
      <c r="AI76" s="3">
        <v>0</v>
      </c>
      <c r="AJ76" s="3">
        <v>0</v>
      </c>
      <c r="AK76" s="3">
        <v>0.189075630252101</v>
      </c>
      <c r="AL76" s="3">
        <v>0</v>
      </c>
      <c r="AM76" s="3">
        <v>0.81092436974789905</v>
      </c>
      <c r="AN76" s="3">
        <v>0.18</v>
      </c>
      <c r="AO76" s="3">
        <v>9.8888888888888901E-2</v>
      </c>
      <c r="AP76" s="3">
        <v>0.13041474654377899</v>
      </c>
      <c r="AQ76" s="3" t="s">
        <v>713</v>
      </c>
      <c r="AR76" s="3" t="s">
        <v>714</v>
      </c>
      <c r="AS76" s="3" t="s">
        <v>715</v>
      </c>
      <c r="AT76" s="3" t="s">
        <v>636</v>
      </c>
      <c r="AU76" s="4">
        <v>1</v>
      </c>
      <c r="AV76" s="5">
        <v>0.98509999999999998</v>
      </c>
      <c r="AW76" s="12" t="s">
        <v>716</v>
      </c>
      <c r="AX76" s="6" t="s">
        <v>919</v>
      </c>
    </row>
    <row r="77" spans="1:50" x14ac:dyDescent="0.2">
      <c r="A77" s="3" t="s">
        <v>542</v>
      </c>
      <c r="B77" s="3" t="s">
        <v>198</v>
      </c>
      <c r="C77" s="3">
        <v>570894065</v>
      </c>
      <c r="D77" s="3" t="s">
        <v>52</v>
      </c>
      <c r="E77" s="3" t="s">
        <v>46</v>
      </c>
      <c r="F77" s="3" t="s">
        <v>53</v>
      </c>
      <c r="G77" s="3" t="s">
        <v>53</v>
      </c>
      <c r="H77" s="3" t="s">
        <v>86</v>
      </c>
      <c r="I77" s="3" t="s">
        <v>519</v>
      </c>
      <c r="J77" s="20" t="s">
        <v>543</v>
      </c>
      <c r="K77" s="3">
        <v>1.8633540372670801E-2</v>
      </c>
      <c r="L77" s="3">
        <v>322</v>
      </c>
      <c r="M77" s="3">
        <v>-0.24214254777157501</v>
      </c>
      <c r="N77" s="20" t="s">
        <v>544</v>
      </c>
      <c r="O77" s="20" t="s">
        <v>545</v>
      </c>
      <c r="P77" s="3">
        <v>174</v>
      </c>
      <c r="Q77" s="3">
        <v>145</v>
      </c>
      <c r="R77" s="3">
        <v>38</v>
      </c>
      <c r="S77" s="3">
        <v>0</v>
      </c>
      <c r="T77" s="3">
        <v>0</v>
      </c>
      <c r="U77" s="3">
        <v>0</v>
      </c>
      <c r="V77" s="3">
        <v>0</v>
      </c>
      <c r="W77" s="3">
        <v>0</v>
      </c>
      <c r="X77" s="3">
        <v>0</v>
      </c>
      <c r="Y77" s="3">
        <v>0</v>
      </c>
      <c r="Z77" s="3">
        <v>0</v>
      </c>
      <c r="AA77" s="3">
        <v>0</v>
      </c>
      <c r="AB77" s="3">
        <v>0</v>
      </c>
      <c r="AC77" s="3">
        <v>0</v>
      </c>
      <c r="AD77" s="3">
        <v>0.106442577030812</v>
      </c>
      <c r="AE77" s="3">
        <v>0.40616246498599401</v>
      </c>
      <c r="AF77" s="3">
        <v>0.48739495798319299</v>
      </c>
      <c r="AG77" s="3">
        <v>0</v>
      </c>
      <c r="AH77" s="3">
        <v>0</v>
      </c>
      <c r="AI77" s="3">
        <v>0</v>
      </c>
      <c r="AJ77" s="3">
        <v>0.30952380952380998</v>
      </c>
      <c r="AK77" s="3">
        <v>0</v>
      </c>
      <c r="AL77" s="3">
        <v>0.69047619047619002</v>
      </c>
      <c r="AM77" s="3">
        <v>0</v>
      </c>
      <c r="AN77" s="3">
        <v>7.6470588235294096E-2</v>
      </c>
      <c r="AO77" s="3">
        <v>0.10839694656488499</v>
      </c>
      <c r="AP77" s="3">
        <v>0.14713375796178299</v>
      </c>
      <c r="AQ77" s="3"/>
      <c r="AR77" s="3"/>
      <c r="AS77" s="3"/>
      <c r="AT77" s="3"/>
      <c r="AU77" s="3"/>
      <c r="AV77" s="3"/>
      <c r="AW77" s="6"/>
      <c r="AX77" s="6"/>
    </row>
    <row r="78" spans="1:50" ht="84" x14ac:dyDescent="0.2">
      <c r="A78" s="3" t="s">
        <v>546</v>
      </c>
      <c r="B78" s="3" t="s">
        <v>198</v>
      </c>
      <c r="C78" s="3">
        <v>574080626</v>
      </c>
      <c r="D78" s="3" t="s">
        <v>156</v>
      </c>
      <c r="E78" s="3" t="s">
        <v>59</v>
      </c>
      <c r="F78" s="3" t="s">
        <v>53</v>
      </c>
      <c r="G78" s="3" t="s">
        <v>53</v>
      </c>
      <c r="H78" s="3" t="s">
        <v>86</v>
      </c>
      <c r="I78" s="3" t="s">
        <v>519</v>
      </c>
      <c r="J78" s="20" t="s">
        <v>547</v>
      </c>
      <c r="K78" s="3">
        <v>1.7080745341614901E-2</v>
      </c>
      <c r="L78" s="3">
        <v>322</v>
      </c>
      <c r="M78" s="3">
        <v>1.73229826972753</v>
      </c>
      <c r="N78" s="20" t="s">
        <v>548</v>
      </c>
      <c r="O78" s="3">
        <v>0.32478280294517597</v>
      </c>
      <c r="P78" s="3">
        <v>0</v>
      </c>
      <c r="Q78" s="3">
        <v>0</v>
      </c>
      <c r="R78" s="3">
        <v>21</v>
      </c>
      <c r="S78" s="3">
        <v>0</v>
      </c>
      <c r="T78" s="3">
        <v>0</v>
      </c>
      <c r="U78" s="3">
        <v>101</v>
      </c>
      <c r="V78" s="3">
        <v>0</v>
      </c>
      <c r="W78" s="3">
        <v>0</v>
      </c>
      <c r="X78" s="3">
        <v>235</v>
      </c>
      <c r="Y78" s="3">
        <v>0</v>
      </c>
      <c r="Z78" s="3">
        <v>0</v>
      </c>
      <c r="AA78" s="3">
        <v>0</v>
      </c>
      <c r="AB78" s="3">
        <v>0.28291316526610599</v>
      </c>
      <c r="AC78" s="3">
        <v>0.65826330532212896</v>
      </c>
      <c r="AD78" s="3">
        <v>5.8823529411764698E-2</v>
      </c>
      <c r="AE78" s="3">
        <v>0</v>
      </c>
      <c r="AF78" s="3">
        <v>0</v>
      </c>
      <c r="AG78" s="3">
        <v>0</v>
      </c>
      <c r="AH78" s="3">
        <v>0</v>
      </c>
      <c r="AI78" s="3">
        <v>0</v>
      </c>
      <c r="AJ78" s="3">
        <v>0.38795518207282897</v>
      </c>
      <c r="AK78" s="3">
        <v>0.61204481792717103</v>
      </c>
      <c r="AL78" s="3">
        <v>0</v>
      </c>
      <c r="AM78" s="3">
        <v>0</v>
      </c>
      <c r="AN78" s="3">
        <v>9.4444444444444497E-2</v>
      </c>
      <c r="AO78" s="3">
        <v>0.13014354066985601</v>
      </c>
      <c r="AP78" s="3">
        <v>0.115789473684211</v>
      </c>
      <c r="AQ78" s="3" t="s">
        <v>717</v>
      </c>
      <c r="AR78" s="3" t="s">
        <v>718</v>
      </c>
      <c r="AS78" s="3" t="s">
        <v>913</v>
      </c>
      <c r="AT78" s="3"/>
      <c r="AU78" s="3"/>
      <c r="AV78" s="3"/>
      <c r="AW78" s="8" t="s">
        <v>719</v>
      </c>
      <c r="AX78" s="6" t="s">
        <v>720</v>
      </c>
    </row>
    <row r="79" spans="1:50" ht="182" x14ac:dyDescent="0.2">
      <c r="A79" s="3" t="s">
        <v>336</v>
      </c>
      <c r="B79" s="3" t="s">
        <v>57</v>
      </c>
      <c r="C79" s="3">
        <v>302994249</v>
      </c>
      <c r="D79" s="3" t="s">
        <v>109</v>
      </c>
      <c r="E79" s="3" t="s">
        <v>59</v>
      </c>
      <c r="F79" s="3" t="s">
        <v>45</v>
      </c>
      <c r="G79" s="3" t="s">
        <v>45</v>
      </c>
      <c r="H79" s="3" t="s">
        <v>337</v>
      </c>
      <c r="I79" s="3" t="s">
        <v>338</v>
      </c>
      <c r="J79" s="20" t="s">
        <v>339</v>
      </c>
      <c r="K79" s="3">
        <v>3.7878787878787802E-3</v>
      </c>
      <c r="L79" s="3">
        <v>264</v>
      </c>
      <c r="M79" s="3">
        <v>27.894130844542801</v>
      </c>
      <c r="N79" s="20" t="s">
        <v>340</v>
      </c>
      <c r="O79" s="3">
        <v>0.65135688288481397</v>
      </c>
      <c r="P79" s="3">
        <v>0</v>
      </c>
      <c r="Q79" s="3">
        <v>0</v>
      </c>
      <c r="R79" s="3">
        <v>0</v>
      </c>
      <c r="S79" s="3">
        <v>0</v>
      </c>
      <c r="T79" s="3">
        <v>0</v>
      </c>
      <c r="U79" s="3">
        <v>364</v>
      </c>
      <c r="V79" s="3">
        <v>0</v>
      </c>
      <c r="W79" s="3">
        <v>0</v>
      </c>
      <c r="X79" s="3">
        <v>0</v>
      </c>
      <c r="Y79" s="3">
        <v>0</v>
      </c>
      <c r="Z79" s="3">
        <v>0</v>
      </c>
      <c r="AA79" s="3">
        <v>0</v>
      </c>
      <c r="AB79" s="3">
        <v>1</v>
      </c>
      <c r="AC79" s="3">
        <v>0</v>
      </c>
      <c r="AD79" s="3">
        <v>0</v>
      </c>
      <c r="AE79" s="3">
        <v>0</v>
      </c>
      <c r="AF79" s="3">
        <v>0</v>
      </c>
      <c r="AG79" s="3">
        <v>0</v>
      </c>
      <c r="AH79" s="3">
        <v>0</v>
      </c>
      <c r="AI79" s="3">
        <v>0</v>
      </c>
      <c r="AJ79" s="3">
        <v>0</v>
      </c>
      <c r="AK79" s="3">
        <v>1</v>
      </c>
      <c r="AL79" s="3">
        <v>0</v>
      </c>
      <c r="AM79" s="3">
        <v>0</v>
      </c>
      <c r="AN79" s="3" t="s">
        <v>55</v>
      </c>
      <c r="AO79" s="3" t="s">
        <v>55</v>
      </c>
      <c r="AP79" s="3">
        <v>93.980634262500004</v>
      </c>
      <c r="AQ79" s="3" t="s">
        <v>721</v>
      </c>
      <c r="AR79" s="3" t="s">
        <v>722</v>
      </c>
      <c r="AS79" s="3" t="s">
        <v>723</v>
      </c>
      <c r="AT79" s="3" t="s">
        <v>636</v>
      </c>
      <c r="AU79" s="4">
        <v>0.97</v>
      </c>
      <c r="AV79" s="5">
        <v>0.88319999999999999</v>
      </c>
      <c r="AW79" s="8" t="s">
        <v>724</v>
      </c>
      <c r="AX79" s="6" t="s">
        <v>920</v>
      </c>
    </row>
    <row r="80" spans="1:50" ht="98" x14ac:dyDescent="0.2">
      <c r="A80" s="3" t="s">
        <v>341</v>
      </c>
      <c r="B80" s="3" t="s">
        <v>57</v>
      </c>
      <c r="C80" s="3">
        <v>315074803</v>
      </c>
      <c r="D80" s="3" t="s">
        <v>71</v>
      </c>
      <c r="E80" s="3" t="s">
        <v>45</v>
      </c>
      <c r="F80" s="3" t="s">
        <v>59</v>
      </c>
      <c r="G80" s="3" t="s">
        <v>59</v>
      </c>
      <c r="H80" s="3" t="s">
        <v>337</v>
      </c>
      <c r="I80" s="3" t="s">
        <v>338</v>
      </c>
      <c r="J80" s="20" t="s">
        <v>342</v>
      </c>
      <c r="K80" s="3">
        <v>9.4696969696970203E-3</v>
      </c>
      <c r="L80" s="3">
        <v>264</v>
      </c>
      <c r="M80" s="3">
        <v>13.009896048679799</v>
      </c>
      <c r="N80" s="3">
        <v>9.1684607601321799E-4</v>
      </c>
      <c r="O80" s="3">
        <v>1.53025136580535</v>
      </c>
      <c r="P80" s="3">
        <v>0</v>
      </c>
      <c r="Q80" s="3">
        <v>0</v>
      </c>
      <c r="R80" s="3">
        <v>0</v>
      </c>
      <c r="S80" s="3">
        <v>0</v>
      </c>
      <c r="T80" s="3">
        <v>282</v>
      </c>
      <c r="U80" s="3">
        <v>7</v>
      </c>
      <c r="V80" s="3">
        <v>0</v>
      </c>
      <c r="W80" s="3">
        <v>75</v>
      </c>
      <c r="X80" s="3">
        <v>0</v>
      </c>
      <c r="Y80" s="3">
        <v>0</v>
      </c>
      <c r="Z80" s="3">
        <v>0.20604395604395601</v>
      </c>
      <c r="AA80" s="3">
        <v>0.77472527472527497</v>
      </c>
      <c r="AB80" s="3">
        <v>1.9230769230769201E-2</v>
      </c>
      <c r="AC80" s="3">
        <v>0</v>
      </c>
      <c r="AD80" s="3">
        <v>0</v>
      </c>
      <c r="AE80" s="3">
        <v>0</v>
      </c>
      <c r="AF80" s="3">
        <v>0</v>
      </c>
      <c r="AG80" s="3">
        <v>0</v>
      </c>
      <c r="AH80" s="3">
        <v>0</v>
      </c>
      <c r="AI80" s="3">
        <v>0</v>
      </c>
      <c r="AJ80" s="3">
        <v>0</v>
      </c>
      <c r="AK80" s="3">
        <v>0.122252747252747</v>
      </c>
      <c r="AL80" s="3">
        <v>0</v>
      </c>
      <c r="AM80" s="3">
        <v>0.87774725274725296</v>
      </c>
      <c r="AN80" s="3">
        <v>98.333333339999996</v>
      </c>
      <c r="AO80" s="3">
        <v>93.491028747457605</v>
      </c>
      <c r="AP80" s="3">
        <v>94.0162504125</v>
      </c>
      <c r="AQ80" s="3" t="s">
        <v>914</v>
      </c>
      <c r="AR80" s="3"/>
      <c r="AS80" s="3" t="s">
        <v>725</v>
      </c>
      <c r="AT80" s="3" t="s">
        <v>636</v>
      </c>
      <c r="AU80" s="4">
        <v>0.99</v>
      </c>
      <c r="AV80" s="4">
        <v>0.9</v>
      </c>
      <c r="AW80" s="10" t="s">
        <v>726</v>
      </c>
      <c r="AX80" s="6" t="s">
        <v>921</v>
      </c>
    </row>
    <row r="81" spans="1:50" x14ac:dyDescent="0.2">
      <c r="A81" s="3" t="s">
        <v>343</v>
      </c>
      <c r="B81" s="3" t="s">
        <v>138</v>
      </c>
      <c r="C81" s="3">
        <v>448435444</v>
      </c>
      <c r="D81" s="3" t="s">
        <v>44</v>
      </c>
      <c r="E81" s="3" t="s">
        <v>45</v>
      </c>
      <c r="F81" s="3" t="s">
        <v>46</v>
      </c>
      <c r="G81" s="3" t="s">
        <v>46</v>
      </c>
      <c r="H81" s="3" t="s">
        <v>337</v>
      </c>
      <c r="I81" s="3" t="s">
        <v>338</v>
      </c>
      <c r="J81" s="20" t="s">
        <v>344</v>
      </c>
      <c r="K81" s="3">
        <v>0.35795454545454503</v>
      </c>
      <c r="L81" s="3">
        <v>264</v>
      </c>
      <c r="M81" s="3">
        <v>-2.8507224582336801</v>
      </c>
      <c r="N81" s="3">
        <v>4.9835274970955901E-3</v>
      </c>
      <c r="O81" s="3">
        <v>0</v>
      </c>
      <c r="P81" s="3">
        <v>9</v>
      </c>
      <c r="Q81" s="3">
        <v>0</v>
      </c>
      <c r="R81" s="3">
        <v>0</v>
      </c>
      <c r="S81" s="3">
        <v>89</v>
      </c>
      <c r="T81" s="3">
        <v>266</v>
      </c>
      <c r="U81" s="3">
        <v>0</v>
      </c>
      <c r="V81" s="3">
        <v>0</v>
      </c>
      <c r="W81" s="3">
        <v>0</v>
      </c>
      <c r="X81" s="3">
        <v>0</v>
      </c>
      <c r="Y81" s="3">
        <v>0</v>
      </c>
      <c r="Z81" s="3">
        <v>0</v>
      </c>
      <c r="AA81" s="3">
        <v>0.73076923076923095</v>
      </c>
      <c r="AB81" s="3">
        <v>0</v>
      </c>
      <c r="AC81" s="3">
        <v>0</v>
      </c>
      <c r="AD81" s="3">
        <v>0</v>
      </c>
      <c r="AE81" s="3">
        <v>0</v>
      </c>
      <c r="AF81" s="3">
        <v>2.47252747252747E-2</v>
      </c>
      <c r="AG81" s="3">
        <v>0.244505494505494</v>
      </c>
      <c r="AH81" s="3">
        <v>0</v>
      </c>
      <c r="AI81" s="3">
        <v>0</v>
      </c>
      <c r="AJ81" s="3">
        <v>0</v>
      </c>
      <c r="AK81" s="3">
        <v>0</v>
      </c>
      <c r="AL81" s="3">
        <v>0.14697802197802201</v>
      </c>
      <c r="AM81" s="3">
        <v>0.85302197802197799</v>
      </c>
      <c r="AN81" s="3">
        <v>96.262626249999997</v>
      </c>
      <c r="AO81" s="3">
        <v>95.100771023076902</v>
      </c>
      <c r="AP81" s="3">
        <v>93.532443374611404</v>
      </c>
      <c r="AQ81" s="3" t="s">
        <v>727</v>
      </c>
      <c r="AR81" s="3" t="s">
        <v>635</v>
      </c>
      <c r="AS81" s="3" t="s">
        <v>913</v>
      </c>
      <c r="AT81" s="3"/>
      <c r="AU81" s="3"/>
      <c r="AV81" s="3"/>
      <c r="AW81" s="6"/>
      <c r="AX81" s="6"/>
    </row>
    <row r="82" spans="1:50" ht="56" x14ac:dyDescent="0.2">
      <c r="A82" s="3" t="s">
        <v>345</v>
      </c>
      <c r="B82" s="3" t="s">
        <v>97</v>
      </c>
      <c r="C82" s="3">
        <v>161844379</v>
      </c>
      <c r="D82" s="3" t="s">
        <v>67</v>
      </c>
      <c r="E82" s="3" t="s">
        <v>53</v>
      </c>
      <c r="F82" s="3" t="s">
        <v>46</v>
      </c>
      <c r="G82" s="3" t="s">
        <v>46</v>
      </c>
      <c r="H82" s="3" t="s">
        <v>337</v>
      </c>
      <c r="I82" s="3" t="s">
        <v>338</v>
      </c>
      <c r="J82" s="20" t="s">
        <v>346</v>
      </c>
      <c r="K82" s="3">
        <v>9.4696969696970203E-3</v>
      </c>
      <c r="L82" s="3">
        <v>264</v>
      </c>
      <c r="M82" s="3">
        <v>17.977705343617298</v>
      </c>
      <c r="N82" s="20" t="s">
        <v>347</v>
      </c>
      <c r="O82" s="3">
        <v>0</v>
      </c>
      <c r="P82" s="3">
        <v>8</v>
      </c>
      <c r="Q82" s="3">
        <v>42</v>
      </c>
      <c r="R82" s="3">
        <v>314</v>
      </c>
      <c r="S82" s="3">
        <v>0</v>
      </c>
      <c r="T82" s="3">
        <v>0</v>
      </c>
      <c r="U82" s="3">
        <v>0</v>
      </c>
      <c r="V82" s="3">
        <v>0</v>
      </c>
      <c r="W82" s="3">
        <v>0</v>
      </c>
      <c r="X82" s="3">
        <v>0</v>
      </c>
      <c r="Y82" s="3">
        <v>0</v>
      </c>
      <c r="Z82" s="3">
        <v>0</v>
      </c>
      <c r="AA82" s="3">
        <v>0</v>
      </c>
      <c r="AB82" s="3">
        <v>0</v>
      </c>
      <c r="AC82" s="3">
        <v>0</v>
      </c>
      <c r="AD82" s="3">
        <v>0.86263736263736301</v>
      </c>
      <c r="AE82" s="3">
        <v>0.115384615384615</v>
      </c>
      <c r="AF82" s="3">
        <v>2.1978021978022001E-2</v>
      </c>
      <c r="AG82" s="3">
        <v>0</v>
      </c>
      <c r="AH82" s="3">
        <v>0</v>
      </c>
      <c r="AI82" s="3">
        <v>0</v>
      </c>
      <c r="AJ82" s="3">
        <v>0.92032967032966995</v>
      </c>
      <c r="AK82" s="3">
        <v>0</v>
      </c>
      <c r="AL82" s="3">
        <v>7.9670329670329706E-2</v>
      </c>
      <c r="AM82" s="3">
        <v>0</v>
      </c>
      <c r="AN82" s="3">
        <v>97.777777766666702</v>
      </c>
      <c r="AO82" s="3">
        <v>92.619701724999999</v>
      </c>
      <c r="AP82" s="3">
        <v>94.047257088695702</v>
      </c>
      <c r="AQ82" s="3" t="s">
        <v>728</v>
      </c>
      <c r="AR82" s="3" t="s">
        <v>729</v>
      </c>
      <c r="AS82" s="3" t="s">
        <v>913</v>
      </c>
      <c r="AT82" s="3"/>
      <c r="AU82" s="3"/>
      <c r="AV82" s="3"/>
      <c r="AW82" s="10" t="s">
        <v>730</v>
      </c>
      <c r="AX82" s="6" t="s">
        <v>731</v>
      </c>
    </row>
    <row r="83" spans="1:50" ht="42" x14ac:dyDescent="0.2">
      <c r="A83" s="3" t="s">
        <v>348</v>
      </c>
      <c r="B83" s="3" t="s">
        <v>77</v>
      </c>
      <c r="C83" s="3">
        <v>452036252</v>
      </c>
      <c r="D83" s="3" t="s">
        <v>225</v>
      </c>
      <c r="E83" s="3" t="s">
        <v>59</v>
      </c>
      <c r="F83" s="3" t="s">
        <v>46</v>
      </c>
      <c r="G83" s="3" t="s">
        <v>46</v>
      </c>
      <c r="H83" s="3" t="s">
        <v>337</v>
      </c>
      <c r="I83" s="3" t="s">
        <v>338</v>
      </c>
      <c r="J83" s="20" t="s">
        <v>349</v>
      </c>
      <c r="K83" s="3">
        <v>5.6818181818182297E-3</v>
      </c>
      <c r="L83" s="3">
        <v>264</v>
      </c>
      <c r="M83" s="3">
        <v>16.863357956104402</v>
      </c>
      <c r="N83" s="20" t="s">
        <v>350</v>
      </c>
      <c r="O83" s="20" t="s">
        <v>351</v>
      </c>
      <c r="P83" s="3">
        <v>102</v>
      </c>
      <c r="Q83" s="3">
        <v>0</v>
      </c>
      <c r="R83" s="3">
        <v>0</v>
      </c>
      <c r="S83" s="3">
        <v>0</v>
      </c>
      <c r="T83" s="3">
        <v>0</v>
      </c>
      <c r="U83" s="3">
        <v>108</v>
      </c>
      <c r="V83" s="3">
        <v>154</v>
      </c>
      <c r="W83" s="3">
        <v>0</v>
      </c>
      <c r="X83" s="3">
        <v>0</v>
      </c>
      <c r="Y83" s="3">
        <v>0</v>
      </c>
      <c r="Z83" s="3">
        <v>0</v>
      </c>
      <c r="AA83" s="3">
        <v>0</v>
      </c>
      <c r="AB83" s="3">
        <v>0.29670329670329698</v>
      </c>
      <c r="AC83" s="3">
        <v>0</v>
      </c>
      <c r="AD83" s="3">
        <v>0</v>
      </c>
      <c r="AE83" s="3">
        <v>0</v>
      </c>
      <c r="AF83" s="3">
        <v>0.28021978021978</v>
      </c>
      <c r="AG83" s="3">
        <v>0</v>
      </c>
      <c r="AH83" s="3">
        <v>0</v>
      </c>
      <c r="AI83" s="3">
        <v>0.42307692307692302</v>
      </c>
      <c r="AJ83" s="3">
        <v>0</v>
      </c>
      <c r="AK83" s="3">
        <v>0.50824175824175799</v>
      </c>
      <c r="AL83" s="3">
        <v>0.49175824175824201</v>
      </c>
      <c r="AM83" s="3">
        <v>0</v>
      </c>
      <c r="AN83" s="3">
        <v>95.970933824285694</v>
      </c>
      <c r="AO83" s="3">
        <v>93.2106732535714</v>
      </c>
      <c r="AP83" s="3">
        <v>93.333252112195098</v>
      </c>
      <c r="AQ83" s="3" t="s">
        <v>732</v>
      </c>
      <c r="AR83" s="3" t="s">
        <v>733</v>
      </c>
      <c r="AS83" s="3" t="s">
        <v>913</v>
      </c>
      <c r="AT83" s="3"/>
      <c r="AU83" s="3"/>
      <c r="AV83" s="3"/>
      <c r="AW83" s="10" t="s">
        <v>734</v>
      </c>
      <c r="AX83" s="6" t="s">
        <v>735</v>
      </c>
    </row>
    <row r="84" spans="1:50" x14ac:dyDescent="0.2">
      <c r="A84" s="3" t="s">
        <v>415</v>
      </c>
      <c r="B84" s="3" t="s">
        <v>152</v>
      </c>
      <c r="C84" s="3">
        <v>668224534</v>
      </c>
      <c r="D84" s="3" t="s">
        <v>52</v>
      </c>
      <c r="E84" s="3" t="s">
        <v>46</v>
      </c>
      <c r="F84" s="3" t="s">
        <v>53</v>
      </c>
      <c r="G84" s="3" t="s">
        <v>53</v>
      </c>
      <c r="H84" s="3" t="s">
        <v>337</v>
      </c>
      <c r="I84" s="3" t="s">
        <v>369</v>
      </c>
      <c r="J84" s="20" t="s">
        <v>416</v>
      </c>
      <c r="K84" s="3">
        <v>1.2944983818770199E-2</v>
      </c>
      <c r="L84" s="3">
        <v>309</v>
      </c>
      <c r="M84" s="3">
        <v>29.7673791182557</v>
      </c>
      <c r="N84" s="3">
        <v>1.2036504489692399E-2</v>
      </c>
      <c r="O84" s="3">
        <v>5.5225793820071196</v>
      </c>
      <c r="P84" s="3">
        <v>336</v>
      </c>
      <c r="Q84" s="3">
        <v>24</v>
      </c>
      <c r="R84" s="3">
        <v>4</v>
      </c>
      <c r="S84" s="3">
        <v>0</v>
      </c>
      <c r="T84" s="3">
        <v>0</v>
      </c>
      <c r="U84" s="3">
        <v>0</v>
      </c>
      <c r="V84" s="3">
        <v>0</v>
      </c>
      <c r="W84" s="3">
        <v>0</v>
      </c>
      <c r="X84" s="3">
        <v>0</v>
      </c>
      <c r="Y84" s="3">
        <v>0</v>
      </c>
      <c r="Z84" s="3">
        <v>0</v>
      </c>
      <c r="AA84" s="3">
        <v>0</v>
      </c>
      <c r="AB84" s="3">
        <v>0</v>
      </c>
      <c r="AC84" s="3">
        <v>0</v>
      </c>
      <c r="AD84" s="3">
        <v>1.0989010989011E-2</v>
      </c>
      <c r="AE84" s="3">
        <v>6.5934065934065894E-2</v>
      </c>
      <c r="AF84" s="3">
        <v>0.92307692307692302</v>
      </c>
      <c r="AG84" s="3">
        <v>0</v>
      </c>
      <c r="AH84" s="3">
        <v>0</v>
      </c>
      <c r="AI84" s="3">
        <v>0</v>
      </c>
      <c r="AJ84" s="3">
        <v>4.3956043956044001E-2</v>
      </c>
      <c r="AK84" s="3">
        <v>0</v>
      </c>
      <c r="AL84" s="3">
        <v>0.95604395604395598</v>
      </c>
      <c r="AM84" s="3">
        <v>0</v>
      </c>
      <c r="AN84" s="3">
        <v>63.194444445000002</v>
      </c>
      <c r="AO84" s="3">
        <v>82.181109825999997</v>
      </c>
      <c r="AP84" s="3">
        <v>78.715492737749997</v>
      </c>
      <c r="AQ84" s="3"/>
      <c r="AR84" s="3"/>
      <c r="AS84" s="3"/>
      <c r="AT84" s="3"/>
      <c r="AU84" s="3"/>
      <c r="AV84" s="3"/>
      <c r="AW84" s="6"/>
      <c r="AX84" s="6"/>
    </row>
    <row r="85" spans="1:50" x14ac:dyDescent="0.2">
      <c r="A85" s="3" t="s">
        <v>417</v>
      </c>
      <c r="B85" s="3" t="s">
        <v>77</v>
      </c>
      <c r="C85" s="3">
        <v>548956709</v>
      </c>
      <c r="D85" s="3" t="s">
        <v>44</v>
      </c>
      <c r="E85" s="3" t="s">
        <v>46</v>
      </c>
      <c r="F85" s="3" t="s">
        <v>45</v>
      </c>
      <c r="G85" s="3" t="s">
        <v>46</v>
      </c>
      <c r="H85" s="3" t="s">
        <v>337</v>
      </c>
      <c r="I85" s="3" t="s">
        <v>369</v>
      </c>
      <c r="J85" s="20" t="s">
        <v>418</v>
      </c>
      <c r="K85" s="3">
        <v>1.94174757281553E-2</v>
      </c>
      <c r="L85" s="3">
        <v>309</v>
      </c>
      <c r="M85" s="3">
        <v>26.940592352629199</v>
      </c>
      <c r="N85" s="3">
        <v>1.1082534596075001E-3</v>
      </c>
      <c r="O85" s="3">
        <v>0</v>
      </c>
      <c r="P85" s="3">
        <v>15</v>
      </c>
      <c r="Q85" s="3">
        <v>0</v>
      </c>
      <c r="R85" s="3">
        <v>0</v>
      </c>
      <c r="S85" s="3">
        <v>27</v>
      </c>
      <c r="T85" s="3">
        <v>322</v>
      </c>
      <c r="U85" s="3">
        <v>0</v>
      </c>
      <c r="V85" s="3">
        <v>0</v>
      </c>
      <c r="W85" s="3">
        <v>0</v>
      </c>
      <c r="X85" s="3">
        <v>0</v>
      </c>
      <c r="Y85" s="3">
        <v>0</v>
      </c>
      <c r="Z85" s="3">
        <v>0</v>
      </c>
      <c r="AA85" s="3">
        <v>0.88461538461538503</v>
      </c>
      <c r="AB85" s="3">
        <v>0</v>
      </c>
      <c r="AC85" s="3">
        <v>0</v>
      </c>
      <c r="AD85" s="3">
        <v>0</v>
      </c>
      <c r="AE85" s="3">
        <v>0</v>
      </c>
      <c r="AF85" s="3">
        <v>4.1208791208791201E-2</v>
      </c>
      <c r="AG85" s="3">
        <v>7.4175824175824204E-2</v>
      </c>
      <c r="AH85" s="3">
        <v>0</v>
      </c>
      <c r="AI85" s="3">
        <v>0</v>
      </c>
      <c r="AJ85" s="3">
        <v>0</v>
      </c>
      <c r="AK85" s="3">
        <v>0</v>
      </c>
      <c r="AL85" s="3">
        <v>7.8296703296703296E-2</v>
      </c>
      <c r="AM85" s="3">
        <v>0.92170329670329698</v>
      </c>
      <c r="AN85" s="3">
        <v>86.071428571666701</v>
      </c>
      <c r="AO85" s="3">
        <v>82.868324857272697</v>
      </c>
      <c r="AP85" s="3">
        <v>78.151575273745394</v>
      </c>
      <c r="AQ85" s="3"/>
      <c r="AR85" s="3"/>
      <c r="AS85" s="3"/>
      <c r="AT85" s="3"/>
      <c r="AU85" s="3"/>
      <c r="AV85" s="3"/>
      <c r="AW85" s="6"/>
      <c r="AX85" s="6"/>
    </row>
    <row r="86" spans="1:50" x14ac:dyDescent="0.2">
      <c r="A86" s="3" t="s">
        <v>419</v>
      </c>
      <c r="B86" s="3" t="s">
        <v>169</v>
      </c>
      <c r="C86" s="3">
        <v>12880934</v>
      </c>
      <c r="D86" s="3" t="s">
        <v>127</v>
      </c>
      <c r="E86" s="3" t="s">
        <v>45</v>
      </c>
      <c r="F86" s="3" t="s">
        <v>53</v>
      </c>
      <c r="G86" s="3" t="s">
        <v>53</v>
      </c>
      <c r="H86" s="3" t="s">
        <v>337</v>
      </c>
      <c r="I86" s="3" t="s">
        <v>369</v>
      </c>
      <c r="J86" s="20" t="s">
        <v>420</v>
      </c>
      <c r="K86" s="3">
        <v>0.21521035598705501</v>
      </c>
      <c r="L86" s="3">
        <v>309</v>
      </c>
      <c r="M86" s="3">
        <v>6.7668552182579997</v>
      </c>
      <c r="N86" s="3">
        <v>1.2036504489692399E-2</v>
      </c>
      <c r="O86" s="3">
        <v>0</v>
      </c>
      <c r="P86" s="3">
        <v>0</v>
      </c>
      <c r="Q86" s="3">
        <v>0</v>
      </c>
      <c r="R86" s="3">
        <v>1</v>
      </c>
      <c r="S86" s="3">
        <v>0</v>
      </c>
      <c r="T86" s="3">
        <v>358</v>
      </c>
      <c r="U86" s="3">
        <v>0</v>
      </c>
      <c r="V86" s="3">
        <v>0</v>
      </c>
      <c r="W86" s="3">
        <v>0</v>
      </c>
      <c r="X86" s="3">
        <v>0</v>
      </c>
      <c r="Y86" s="3">
        <v>5</v>
      </c>
      <c r="Z86" s="3">
        <v>0</v>
      </c>
      <c r="AA86" s="3">
        <v>0.98351648351648302</v>
      </c>
      <c r="AB86" s="3">
        <v>0</v>
      </c>
      <c r="AC86" s="3">
        <v>0</v>
      </c>
      <c r="AD86" s="3">
        <v>2.7472527472527501E-3</v>
      </c>
      <c r="AE86" s="3">
        <v>0</v>
      </c>
      <c r="AF86" s="3">
        <v>0</v>
      </c>
      <c r="AG86" s="3">
        <v>0</v>
      </c>
      <c r="AH86" s="3">
        <v>1.37362637362637E-2</v>
      </c>
      <c r="AI86" s="3">
        <v>0</v>
      </c>
      <c r="AJ86" s="3">
        <v>9.6153846153846194E-3</v>
      </c>
      <c r="AK86" s="3">
        <v>0</v>
      </c>
      <c r="AL86" s="3">
        <v>0</v>
      </c>
      <c r="AM86" s="3">
        <v>0.99038461538461497</v>
      </c>
      <c r="AN86" s="3">
        <v>58.333333330000002</v>
      </c>
      <c r="AO86" s="3">
        <v>73.428571427999998</v>
      </c>
      <c r="AP86" s="3">
        <v>78.951047193168307</v>
      </c>
      <c r="AQ86" s="3"/>
      <c r="AR86" s="3"/>
      <c r="AS86" s="3"/>
      <c r="AT86" s="3"/>
      <c r="AU86" s="3"/>
      <c r="AV86" s="3"/>
      <c r="AW86" s="6"/>
      <c r="AX86" s="6"/>
    </row>
    <row r="87" spans="1:50" x14ac:dyDescent="0.2">
      <c r="A87" s="3" t="s">
        <v>421</v>
      </c>
      <c r="B87" s="3" t="s">
        <v>169</v>
      </c>
      <c r="C87" s="3">
        <v>433049091</v>
      </c>
      <c r="D87" s="3" t="s">
        <v>260</v>
      </c>
      <c r="E87" s="3" t="s">
        <v>59</v>
      </c>
      <c r="F87" s="3" t="s">
        <v>53</v>
      </c>
      <c r="G87" s="3" t="s">
        <v>59</v>
      </c>
      <c r="H87" s="3" t="s">
        <v>337</v>
      </c>
      <c r="I87" s="3" t="s">
        <v>369</v>
      </c>
      <c r="J87" s="20" t="s">
        <v>422</v>
      </c>
      <c r="K87" s="3">
        <v>4.6925566343042097E-2</v>
      </c>
      <c r="L87" s="3">
        <v>309</v>
      </c>
      <c r="M87" s="3">
        <v>15.163032979007101</v>
      </c>
      <c r="N87" s="3">
        <v>1.2036504489692399E-2</v>
      </c>
      <c r="O87" s="3">
        <v>0</v>
      </c>
      <c r="P87" s="3">
        <v>0</v>
      </c>
      <c r="Q87" s="3">
        <v>0</v>
      </c>
      <c r="R87" s="3">
        <v>302</v>
      </c>
      <c r="S87" s="3">
        <v>0</v>
      </c>
      <c r="T87" s="3">
        <v>0</v>
      </c>
      <c r="U87" s="3">
        <v>4</v>
      </c>
      <c r="V87" s="3">
        <v>0</v>
      </c>
      <c r="W87" s="3">
        <v>0</v>
      </c>
      <c r="X87" s="3">
        <v>58</v>
      </c>
      <c r="Y87" s="3">
        <v>0</v>
      </c>
      <c r="Z87" s="3">
        <v>0</v>
      </c>
      <c r="AA87" s="3">
        <v>0</v>
      </c>
      <c r="AB87" s="3">
        <v>1.0989010989011E-2</v>
      </c>
      <c r="AC87" s="3">
        <v>0.159340659340659</v>
      </c>
      <c r="AD87" s="3">
        <v>0.82967032967033005</v>
      </c>
      <c r="AE87" s="3">
        <v>0</v>
      </c>
      <c r="AF87" s="3">
        <v>0</v>
      </c>
      <c r="AG87" s="3">
        <v>0</v>
      </c>
      <c r="AH87" s="3">
        <v>0</v>
      </c>
      <c r="AI87" s="3">
        <v>0</v>
      </c>
      <c r="AJ87" s="3">
        <v>0.90934065934066</v>
      </c>
      <c r="AK87" s="3">
        <v>9.0659340659340698E-2</v>
      </c>
      <c r="AL87" s="3">
        <v>0</v>
      </c>
      <c r="AM87" s="3">
        <v>0</v>
      </c>
      <c r="AN87" s="3">
        <v>82.788461537499998</v>
      </c>
      <c r="AO87" s="3">
        <v>76.296315985000007</v>
      </c>
      <c r="AP87" s="3">
        <v>79.199480453579795</v>
      </c>
      <c r="AQ87" s="3"/>
      <c r="AR87" s="3"/>
      <c r="AS87" s="3"/>
      <c r="AT87" s="3"/>
      <c r="AU87" s="3"/>
      <c r="AV87" s="3"/>
      <c r="AW87" s="6"/>
      <c r="AX87" s="6"/>
    </row>
    <row r="88" spans="1:50" x14ac:dyDescent="0.2">
      <c r="A88" s="3" t="s">
        <v>381</v>
      </c>
      <c r="B88" s="3" t="s">
        <v>90</v>
      </c>
      <c r="C88" s="3">
        <v>550994220</v>
      </c>
      <c r="D88" s="3" t="s">
        <v>52</v>
      </c>
      <c r="E88" s="3" t="s">
        <v>46</v>
      </c>
      <c r="F88" s="3" t="s">
        <v>53</v>
      </c>
      <c r="G88" s="3" t="s">
        <v>53</v>
      </c>
      <c r="H88" s="3" t="s">
        <v>382</v>
      </c>
      <c r="I88" s="3" t="s">
        <v>369</v>
      </c>
      <c r="J88" s="20" t="s">
        <v>383</v>
      </c>
      <c r="K88" s="3">
        <v>8.9285714285714302E-2</v>
      </c>
      <c r="L88" s="3">
        <v>280</v>
      </c>
      <c r="M88" s="3">
        <v>-0.19155895722900099</v>
      </c>
      <c r="N88" s="3">
        <v>9.3155933615928707E-3</v>
      </c>
      <c r="O88" s="3" t="s">
        <v>55</v>
      </c>
      <c r="P88" s="3">
        <v>352</v>
      </c>
      <c r="Q88" s="3">
        <v>8</v>
      </c>
      <c r="R88" s="3">
        <v>4</v>
      </c>
      <c r="S88" s="3">
        <v>0</v>
      </c>
      <c r="T88" s="3">
        <v>0</v>
      </c>
      <c r="U88" s="3">
        <v>0</v>
      </c>
      <c r="V88" s="3">
        <v>0</v>
      </c>
      <c r="W88" s="3">
        <v>0</v>
      </c>
      <c r="X88" s="3">
        <v>0</v>
      </c>
      <c r="Y88" s="3">
        <v>0</v>
      </c>
      <c r="Z88" s="3">
        <v>0</v>
      </c>
      <c r="AA88" s="3">
        <v>0</v>
      </c>
      <c r="AB88" s="3">
        <v>0</v>
      </c>
      <c r="AC88" s="3">
        <v>0</v>
      </c>
      <c r="AD88" s="3">
        <v>1.0989010989011E-2</v>
      </c>
      <c r="AE88" s="3">
        <v>2.1978021978022001E-2</v>
      </c>
      <c r="AF88" s="3">
        <v>0.96703296703296704</v>
      </c>
      <c r="AG88" s="3">
        <v>0</v>
      </c>
      <c r="AH88" s="3">
        <v>0</v>
      </c>
      <c r="AI88" s="3">
        <v>0</v>
      </c>
      <c r="AJ88" s="3">
        <v>2.1978021978022001E-2</v>
      </c>
      <c r="AK88" s="3">
        <v>0</v>
      </c>
      <c r="AL88" s="3">
        <v>0.97802197802197799</v>
      </c>
      <c r="AM88" s="3">
        <v>0</v>
      </c>
      <c r="AN88" s="3">
        <v>0.1</v>
      </c>
      <c r="AO88" s="3">
        <v>0.44</v>
      </c>
      <c r="AP88" s="3">
        <v>0.32324723247232501</v>
      </c>
      <c r="AQ88" s="3"/>
      <c r="AR88" s="3"/>
      <c r="AS88" s="3"/>
      <c r="AT88" s="3"/>
      <c r="AU88" s="3"/>
      <c r="AV88" s="3"/>
      <c r="AW88" s="6"/>
      <c r="AX88" s="6"/>
    </row>
    <row r="89" spans="1:50" x14ac:dyDescent="0.2">
      <c r="A89" s="3" t="s">
        <v>384</v>
      </c>
      <c r="B89" s="3" t="s">
        <v>224</v>
      </c>
      <c r="C89" s="3">
        <v>451590681</v>
      </c>
      <c r="D89" s="3" t="s">
        <v>156</v>
      </c>
      <c r="E89" s="3" t="s">
        <v>53</v>
      </c>
      <c r="F89" s="3" t="s">
        <v>59</v>
      </c>
      <c r="G89" s="3" t="s">
        <v>53</v>
      </c>
      <c r="H89" s="3" t="s">
        <v>382</v>
      </c>
      <c r="I89" s="3" t="s">
        <v>369</v>
      </c>
      <c r="J89" s="20" t="s">
        <v>385</v>
      </c>
      <c r="K89" s="3">
        <v>4.1071428571428502E-2</v>
      </c>
      <c r="L89" s="3">
        <v>280</v>
      </c>
      <c r="M89" s="3">
        <v>-0.38917644032410198</v>
      </c>
      <c r="N89" s="20" t="s">
        <v>386</v>
      </c>
      <c r="O89" s="3">
        <v>1.5782219895096701</v>
      </c>
      <c r="P89" s="3">
        <v>0</v>
      </c>
      <c r="Q89" s="3">
        <v>0</v>
      </c>
      <c r="R89" s="3">
        <v>3</v>
      </c>
      <c r="S89" s="3">
        <v>0</v>
      </c>
      <c r="T89" s="3">
        <v>0</v>
      </c>
      <c r="U89" s="3">
        <v>315</v>
      </c>
      <c r="V89" s="3">
        <v>0</v>
      </c>
      <c r="W89" s="3">
        <v>0</v>
      </c>
      <c r="X89" s="3">
        <v>46</v>
      </c>
      <c r="Y89" s="3">
        <v>0</v>
      </c>
      <c r="Z89" s="3">
        <v>0</v>
      </c>
      <c r="AA89" s="3">
        <v>0</v>
      </c>
      <c r="AB89" s="3">
        <v>0.86538461538461497</v>
      </c>
      <c r="AC89" s="3">
        <v>0.12637362637362601</v>
      </c>
      <c r="AD89" s="3">
        <v>8.2417582417582402E-3</v>
      </c>
      <c r="AE89" s="3">
        <v>0</v>
      </c>
      <c r="AF89" s="3">
        <v>0</v>
      </c>
      <c r="AG89" s="3">
        <v>0</v>
      </c>
      <c r="AH89" s="3">
        <v>0</v>
      </c>
      <c r="AI89" s="3">
        <v>0</v>
      </c>
      <c r="AJ89" s="3">
        <v>7.1428571428571397E-2</v>
      </c>
      <c r="AK89" s="3">
        <v>0.92857142857142905</v>
      </c>
      <c r="AL89" s="3">
        <v>0</v>
      </c>
      <c r="AM89" s="3">
        <v>0</v>
      </c>
      <c r="AN89" s="3">
        <v>0.1</v>
      </c>
      <c r="AO89" s="3">
        <v>0.43142857142857099</v>
      </c>
      <c r="AP89" s="3">
        <v>0.30823045267489702</v>
      </c>
      <c r="AQ89" s="3"/>
      <c r="AR89" s="3"/>
      <c r="AS89" s="3"/>
      <c r="AT89" s="3"/>
      <c r="AU89" s="3"/>
      <c r="AV89" s="3"/>
      <c r="AW89" s="6"/>
      <c r="AX89" s="6"/>
    </row>
    <row r="90" spans="1:50" x14ac:dyDescent="0.2">
      <c r="A90" s="3" t="s">
        <v>387</v>
      </c>
      <c r="B90" s="3" t="s">
        <v>66</v>
      </c>
      <c r="C90" s="3">
        <v>336690977</v>
      </c>
      <c r="D90" s="3" t="s">
        <v>67</v>
      </c>
      <c r="E90" s="3" t="s">
        <v>53</v>
      </c>
      <c r="F90" s="3" t="s">
        <v>46</v>
      </c>
      <c r="G90" s="3" t="s">
        <v>46</v>
      </c>
      <c r="H90" s="3" t="s">
        <v>382</v>
      </c>
      <c r="I90" s="3" t="s">
        <v>369</v>
      </c>
      <c r="J90" s="20" t="s">
        <v>388</v>
      </c>
      <c r="K90" s="3">
        <v>1.78571428571428E-3</v>
      </c>
      <c r="L90" s="3">
        <v>280</v>
      </c>
      <c r="M90" s="3">
        <v>-2.5399765694142502</v>
      </c>
      <c r="N90" s="20" t="s">
        <v>389</v>
      </c>
      <c r="O90" s="3">
        <v>0</v>
      </c>
      <c r="P90" s="3">
        <v>3</v>
      </c>
      <c r="Q90" s="3">
        <v>171</v>
      </c>
      <c r="R90" s="3">
        <v>190</v>
      </c>
      <c r="S90" s="3">
        <v>0</v>
      </c>
      <c r="T90" s="3">
        <v>0</v>
      </c>
      <c r="U90" s="3">
        <v>0</v>
      </c>
      <c r="V90" s="3">
        <v>0</v>
      </c>
      <c r="W90" s="3">
        <v>0</v>
      </c>
      <c r="X90" s="3">
        <v>0</v>
      </c>
      <c r="Y90" s="3">
        <v>0</v>
      </c>
      <c r="Z90" s="3">
        <v>0</v>
      </c>
      <c r="AA90" s="3">
        <v>0</v>
      </c>
      <c r="AB90" s="3">
        <v>0</v>
      </c>
      <c r="AC90" s="3">
        <v>0</v>
      </c>
      <c r="AD90" s="3">
        <v>0.52197802197802201</v>
      </c>
      <c r="AE90" s="3">
        <v>0.46978021978022</v>
      </c>
      <c r="AF90" s="3">
        <v>8.2417582417582402E-3</v>
      </c>
      <c r="AG90" s="3">
        <v>0</v>
      </c>
      <c r="AH90" s="3">
        <v>0</v>
      </c>
      <c r="AI90" s="3">
        <v>0</v>
      </c>
      <c r="AJ90" s="3">
        <v>0.75686813186813195</v>
      </c>
      <c r="AK90" s="3">
        <v>0</v>
      </c>
      <c r="AL90" s="3">
        <v>0.24313186813186799</v>
      </c>
      <c r="AM90" s="3">
        <v>0</v>
      </c>
      <c r="AN90" s="3">
        <v>0.46666666666666701</v>
      </c>
      <c r="AO90" s="3">
        <v>0.290225563909774</v>
      </c>
      <c r="AP90" s="3">
        <v>0.34861111111111098</v>
      </c>
      <c r="AQ90" s="3"/>
      <c r="AR90" s="3"/>
      <c r="AS90" s="3"/>
      <c r="AT90" s="3"/>
      <c r="AU90" s="3"/>
      <c r="AV90" s="3"/>
      <c r="AW90" s="6"/>
      <c r="AX90" s="6"/>
    </row>
    <row r="91" spans="1:50" x14ac:dyDescent="0.2">
      <c r="A91" s="3" t="s">
        <v>390</v>
      </c>
      <c r="B91" s="3" t="s">
        <v>105</v>
      </c>
      <c r="C91" s="3">
        <v>32856422</v>
      </c>
      <c r="D91" s="3" t="s">
        <v>52</v>
      </c>
      <c r="E91" s="3" t="s">
        <v>46</v>
      </c>
      <c r="F91" s="3" t="s">
        <v>53</v>
      </c>
      <c r="G91" s="3" t="s">
        <v>53</v>
      </c>
      <c r="H91" s="3" t="s">
        <v>382</v>
      </c>
      <c r="I91" s="3" t="s">
        <v>369</v>
      </c>
      <c r="J91" s="20" t="s">
        <v>391</v>
      </c>
      <c r="K91" s="3">
        <v>1.78571428571428E-3</v>
      </c>
      <c r="L91" s="3">
        <v>280</v>
      </c>
      <c r="M91" s="3">
        <v>-2.8369226710292001</v>
      </c>
      <c r="N91" s="20" t="s">
        <v>392</v>
      </c>
      <c r="O91" s="3">
        <v>0.21360226959304299</v>
      </c>
      <c r="P91" s="3">
        <v>353</v>
      </c>
      <c r="Q91" s="3">
        <v>10</v>
      </c>
      <c r="R91" s="3">
        <v>1</v>
      </c>
      <c r="S91" s="3">
        <v>0</v>
      </c>
      <c r="T91" s="3">
        <v>0</v>
      </c>
      <c r="U91" s="3">
        <v>0</v>
      </c>
      <c r="V91" s="3">
        <v>0</v>
      </c>
      <c r="W91" s="3">
        <v>0</v>
      </c>
      <c r="X91" s="3">
        <v>0</v>
      </c>
      <c r="Y91" s="3">
        <v>0</v>
      </c>
      <c r="Z91" s="3">
        <v>0</v>
      </c>
      <c r="AA91" s="3">
        <v>0</v>
      </c>
      <c r="AB91" s="3">
        <v>0</v>
      </c>
      <c r="AC91" s="3">
        <v>0</v>
      </c>
      <c r="AD91" s="3">
        <v>2.7472527472527501E-3</v>
      </c>
      <c r="AE91" s="3">
        <v>2.74725274725275E-2</v>
      </c>
      <c r="AF91" s="3">
        <v>0.96978021978022</v>
      </c>
      <c r="AG91" s="3">
        <v>0</v>
      </c>
      <c r="AH91" s="3">
        <v>0</v>
      </c>
      <c r="AI91" s="3">
        <v>0</v>
      </c>
      <c r="AJ91" s="3">
        <v>1.6483516483516501E-2</v>
      </c>
      <c r="AK91" s="3">
        <v>0</v>
      </c>
      <c r="AL91" s="3">
        <v>0.98351648351648302</v>
      </c>
      <c r="AM91" s="3">
        <v>0</v>
      </c>
      <c r="AN91" s="3">
        <v>0</v>
      </c>
      <c r="AO91" s="3">
        <v>0.46666666666666701</v>
      </c>
      <c r="AP91" s="3">
        <v>0.31851851851851798</v>
      </c>
      <c r="AQ91" s="3"/>
      <c r="AR91" s="3"/>
      <c r="AS91" s="3"/>
      <c r="AT91" s="3"/>
      <c r="AU91" s="3"/>
      <c r="AV91" s="3"/>
      <c r="AW91" s="6"/>
      <c r="AX91" s="6"/>
    </row>
    <row r="92" spans="1:50" x14ac:dyDescent="0.2">
      <c r="A92" s="3" t="s">
        <v>393</v>
      </c>
      <c r="B92" s="3" t="s">
        <v>169</v>
      </c>
      <c r="C92" s="3">
        <v>429405425</v>
      </c>
      <c r="D92" s="3" t="s">
        <v>71</v>
      </c>
      <c r="E92" s="3" t="s">
        <v>45</v>
      </c>
      <c r="F92" s="3" t="s">
        <v>59</v>
      </c>
      <c r="G92" s="3" t="s">
        <v>59</v>
      </c>
      <c r="H92" s="3" t="s">
        <v>382</v>
      </c>
      <c r="I92" s="3" t="s">
        <v>369</v>
      </c>
      <c r="J92" s="20" t="s">
        <v>394</v>
      </c>
      <c r="K92" s="3">
        <v>1.78571428571428E-3</v>
      </c>
      <c r="L92" s="3">
        <v>280</v>
      </c>
      <c r="M92" s="3">
        <v>-9.5104033854709105</v>
      </c>
      <c r="N92" s="20" t="s">
        <v>395</v>
      </c>
      <c r="O92" s="3">
        <v>55.205782283099701</v>
      </c>
      <c r="P92" s="3">
        <v>0</v>
      </c>
      <c r="Q92" s="3">
        <v>0</v>
      </c>
      <c r="R92" s="3">
        <v>0</v>
      </c>
      <c r="S92" s="3">
        <v>0</v>
      </c>
      <c r="T92" s="3">
        <v>364</v>
      </c>
      <c r="U92" s="3">
        <v>0</v>
      </c>
      <c r="V92" s="3">
        <v>0</v>
      </c>
      <c r="W92" s="3">
        <v>0</v>
      </c>
      <c r="X92" s="3">
        <v>0</v>
      </c>
      <c r="Y92" s="3">
        <v>0</v>
      </c>
      <c r="Z92" s="3">
        <v>0</v>
      </c>
      <c r="AA92" s="3">
        <v>1</v>
      </c>
      <c r="AB92" s="3">
        <v>0</v>
      </c>
      <c r="AC92" s="3">
        <v>0</v>
      </c>
      <c r="AD92" s="3">
        <v>0</v>
      </c>
      <c r="AE92" s="3">
        <v>0</v>
      </c>
      <c r="AF92" s="3">
        <v>0</v>
      </c>
      <c r="AG92" s="3">
        <v>0</v>
      </c>
      <c r="AH92" s="3">
        <v>0</v>
      </c>
      <c r="AI92" s="3">
        <v>0</v>
      </c>
      <c r="AJ92" s="3">
        <v>0</v>
      </c>
      <c r="AK92" s="3">
        <v>0</v>
      </c>
      <c r="AL92" s="3">
        <v>0</v>
      </c>
      <c r="AM92" s="3">
        <v>1</v>
      </c>
      <c r="AN92" s="3" t="s">
        <v>55</v>
      </c>
      <c r="AO92" s="3" t="s">
        <v>55</v>
      </c>
      <c r="AP92" s="3">
        <v>0.32214285714285701</v>
      </c>
      <c r="AQ92" s="3"/>
      <c r="AR92" s="3"/>
      <c r="AS92" s="3"/>
      <c r="AT92" s="3"/>
      <c r="AU92" s="3"/>
      <c r="AV92" s="3"/>
      <c r="AW92" s="6"/>
      <c r="AX92" s="6"/>
    </row>
    <row r="93" spans="1:50" ht="56" x14ac:dyDescent="0.2">
      <c r="A93" s="3" t="s">
        <v>522</v>
      </c>
      <c r="B93" s="3" t="s">
        <v>120</v>
      </c>
      <c r="C93" s="3">
        <v>552460009</v>
      </c>
      <c r="D93" s="3" t="s">
        <v>71</v>
      </c>
      <c r="E93" s="3" t="s">
        <v>45</v>
      </c>
      <c r="F93" s="3" t="s">
        <v>59</v>
      </c>
      <c r="G93" s="3" t="s">
        <v>59</v>
      </c>
      <c r="H93" s="3" t="s">
        <v>382</v>
      </c>
      <c r="I93" s="3" t="s">
        <v>519</v>
      </c>
      <c r="J93" s="20" t="s">
        <v>575</v>
      </c>
      <c r="K93" s="3">
        <v>1.5527950310558799E-3</v>
      </c>
      <c r="L93" s="3">
        <v>322</v>
      </c>
      <c r="M93" s="3">
        <v>-2.6774546681694602</v>
      </c>
      <c r="N93" s="20" t="s">
        <v>576</v>
      </c>
      <c r="O93" s="3">
        <v>0</v>
      </c>
      <c r="P93" s="3">
        <v>0</v>
      </c>
      <c r="Q93" s="3">
        <v>0</v>
      </c>
      <c r="R93" s="3">
        <v>0</v>
      </c>
      <c r="S93" s="3">
        <v>0</v>
      </c>
      <c r="T93" s="3">
        <v>349</v>
      </c>
      <c r="U93" s="3">
        <v>4</v>
      </c>
      <c r="V93" s="3">
        <v>0</v>
      </c>
      <c r="W93" s="3">
        <v>4</v>
      </c>
      <c r="X93" s="3">
        <v>0</v>
      </c>
      <c r="Y93" s="3">
        <v>0</v>
      </c>
      <c r="Z93" s="3">
        <v>1.1204481792717101E-2</v>
      </c>
      <c r="AA93" s="3">
        <v>0.97759103641456602</v>
      </c>
      <c r="AB93" s="3">
        <v>1.1204481792717101E-2</v>
      </c>
      <c r="AC93" s="3">
        <v>0</v>
      </c>
      <c r="AD93" s="3">
        <v>0</v>
      </c>
      <c r="AE93" s="3">
        <v>0</v>
      </c>
      <c r="AF93" s="3">
        <v>0</v>
      </c>
      <c r="AG93" s="3">
        <v>0</v>
      </c>
      <c r="AH93" s="3">
        <v>0</v>
      </c>
      <c r="AI93" s="3">
        <v>0</v>
      </c>
      <c r="AJ93" s="3">
        <v>0</v>
      </c>
      <c r="AK93" s="3">
        <v>1.6806722689075598E-2</v>
      </c>
      <c r="AL93" s="3">
        <v>0</v>
      </c>
      <c r="AM93" s="3">
        <v>0.98319327731092399</v>
      </c>
      <c r="AN93" s="3">
        <v>2.5000000000000001E-2</v>
      </c>
      <c r="AO93" s="3">
        <v>0.2</v>
      </c>
      <c r="AP93" s="3">
        <v>4.6666666666666697E-2</v>
      </c>
      <c r="AQ93" s="3" t="s">
        <v>702</v>
      </c>
      <c r="AR93" s="3" t="s">
        <v>736</v>
      </c>
      <c r="AS93" s="3" t="s">
        <v>737</v>
      </c>
      <c r="AT93" s="3" t="s">
        <v>636</v>
      </c>
      <c r="AU93" s="4">
        <v>1</v>
      </c>
      <c r="AV93" s="5">
        <v>0.94199999999999995</v>
      </c>
      <c r="AW93" s="8" t="s">
        <v>705</v>
      </c>
      <c r="AX93" s="6" t="s">
        <v>706</v>
      </c>
    </row>
    <row r="94" spans="1:50" ht="70" x14ac:dyDescent="0.2">
      <c r="A94" s="3" t="s">
        <v>577</v>
      </c>
      <c r="B94" s="3" t="s">
        <v>224</v>
      </c>
      <c r="C94" s="3">
        <v>165935726</v>
      </c>
      <c r="D94" s="3" t="s">
        <v>71</v>
      </c>
      <c r="E94" s="3" t="s">
        <v>45</v>
      </c>
      <c r="F94" s="3" t="s">
        <v>59</v>
      </c>
      <c r="G94" s="3" t="s">
        <v>59</v>
      </c>
      <c r="H94" s="3" t="s">
        <v>382</v>
      </c>
      <c r="I94" s="3" t="s">
        <v>519</v>
      </c>
      <c r="J94" s="20" t="s">
        <v>578</v>
      </c>
      <c r="K94" s="3">
        <v>2.4844720496894498E-2</v>
      </c>
      <c r="L94" s="3">
        <v>322</v>
      </c>
      <c r="M94" s="3">
        <v>0.85163301892099896</v>
      </c>
      <c r="N94" s="20" t="s">
        <v>579</v>
      </c>
      <c r="O94" s="3">
        <v>3.6045576522748601</v>
      </c>
      <c r="P94" s="3">
        <v>0</v>
      </c>
      <c r="Q94" s="3">
        <v>0</v>
      </c>
      <c r="R94" s="3">
        <v>0</v>
      </c>
      <c r="S94" s="3">
        <v>0</v>
      </c>
      <c r="T94" s="3">
        <v>305</v>
      </c>
      <c r="U94" s="3">
        <v>0</v>
      </c>
      <c r="V94" s="3">
        <v>0</v>
      </c>
      <c r="W94" s="3">
        <v>52</v>
      </c>
      <c r="X94" s="3">
        <v>0</v>
      </c>
      <c r="Y94" s="3">
        <v>0</v>
      </c>
      <c r="Z94" s="3">
        <v>0.145658263305322</v>
      </c>
      <c r="AA94" s="3">
        <v>0.85434173669467794</v>
      </c>
      <c r="AB94" s="3">
        <v>0</v>
      </c>
      <c r="AC94" s="3">
        <v>0</v>
      </c>
      <c r="AD94" s="3">
        <v>0</v>
      </c>
      <c r="AE94" s="3">
        <v>0</v>
      </c>
      <c r="AF94" s="3">
        <v>0</v>
      </c>
      <c r="AG94" s="3">
        <v>0</v>
      </c>
      <c r="AH94" s="3">
        <v>0</v>
      </c>
      <c r="AI94" s="3">
        <v>0</v>
      </c>
      <c r="AJ94" s="3">
        <v>0</v>
      </c>
      <c r="AK94" s="3">
        <v>7.2829131652661097E-2</v>
      </c>
      <c r="AL94" s="3">
        <v>0</v>
      </c>
      <c r="AM94" s="3">
        <v>0.92717086834733897</v>
      </c>
      <c r="AN94" s="3" t="s">
        <v>55</v>
      </c>
      <c r="AO94" s="3">
        <v>3.3333333333333298E-2</v>
      </c>
      <c r="AP94" s="3">
        <v>5.03649635036496E-2</v>
      </c>
      <c r="AQ94" s="3" t="s">
        <v>738</v>
      </c>
      <c r="AR94" s="3" t="s">
        <v>739</v>
      </c>
      <c r="AS94" s="3" t="s">
        <v>740</v>
      </c>
      <c r="AT94" s="3" t="s">
        <v>636</v>
      </c>
      <c r="AU94" s="4">
        <v>0.99</v>
      </c>
      <c r="AV94" s="5">
        <v>0.96499999999999997</v>
      </c>
      <c r="AW94" s="8" t="s">
        <v>741</v>
      </c>
      <c r="AX94" s="6" t="s">
        <v>742</v>
      </c>
    </row>
    <row r="95" spans="1:50" ht="70" x14ac:dyDescent="0.2">
      <c r="A95" s="3" t="s">
        <v>580</v>
      </c>
      <c r="B95" s="3" t="s">
        <v>224</v>
      </c>
      <c r="C95" s="3">
        <v>316869342</v>
      </c>
      <c r="D95" s="3" t="s">
        <v>58</v>
      </c>
      <c r="E95" s="3" t="s">
        <v>46</v>
      </c>
      <c r="F95" s="3" t="s">
        <v>59</v>
      </c>
      <c r="G95" s="3" t="s">
        <v>59</v>
      </c>
      <c r="H95" s="3" t="s">
        <v>382</v>
      </c>
      <c r="I95" s="3" t="s">
        <v>519</v>
      </c>
      <c r="J95" s="20" t="s">
        <v>581</v>
      </c>
      <c r="K95" s="3">
        <v>2.7950310559006201E-2</v>
      </c>
      <c r="L95" s="3">
        <v>322</v>
      </c>
      <c r="M95" s="3">
        <v>-2.43225707971273E-2</v>
      </c>
      <c r="N95" s="20" t="s">
        <v>579</v>
      </c>
      <c r="O95" s="3">
        <v>0.98190350187003805</v>
      </c>
      <c r="P95" s="3">
        <v>337</v>
      </c>
      <c r="Q95" s="3">
        <v>0</v>
      </c>
      <c r="R95" s="3">
        <v>0</v>
      </c>
      <c r="S95" s="3">
        <v>0</v>
      </c>
      <c r="T95" s="3">
        <v>0</v>
      </c>
      <c r="U95" s="3">
        <v>3</v>
      </c>
      <c r="V95" s="3">
        <v>17</v>
      </c>
      <c r="W95" s="3">
        <v>0</v>
      </c>
      <c r="X95" s="3">
        <v>0</v>
      </c>
      <c r="Y95" s="3">
        <v>0</v>
      </c>
      <c r="Z95" s="3">
        <v>0</v>
      </c>
      <c r="AA95" s="3">
        <v>0</v>
      </c>
      <c r="AB95" s="3">
        <v>8.4033613445378096E-3</v>
      </c>
      <c r="AC95" s="3">
        <v>0</v>
      </c>
      <c r="AD95" s="3">
        <v>0</v>
      </c>
      <c r="AE95" s="3">
        <v>0</v>
      </c>
      <c r="AF95" s="3">
        <v>0.94397759103641499</v>
      </c>
      <c r="AG95" s="3">
        <v>0</v>
      </c>
      <c r="AH95" s="3">
        <v>0</v>
      </c>
      <c r="AI95" s="3">
        <v>4.7619047619047603E-2</v>
      </c>
      <c r="AJ95" s="3">
        <v>0</v>
      </c>
      <c r="AK95" s="3">
        <v>3.22128851540616E-2</v>
      </c>
      <c r="AL95" s="3">
        <v>0.96778711484593805</v>
      </c>
      <c r="AM95" s="3">
        <v>0</v>
      </c>
      <c r="AN95" s="3">
        <v>0</v>
      </c>
      <c r="AO95" s="3">
        <v>2.8571428571428598E-2</v>
      </c>
      <c r="AP95" s="3">
        <v>4.91803278688525E-2</v>
      </c>
      <c r="AQ95" s="3" t="s">
        <v>743</v>
      </c>
      <c r="AR95" s="3" t="s">
        <v>744</v>
      </c>
      <c r="AS95" s="3" t="s">
        <v>913</v>
      </c>
      <c r="AT95" s="3"/>
      <c r="AU95" s="3"/>
      <c r="AV95" s="3"/>
      <c r="AW95" s="8" t="s">
        <v>745</v>
      </c>
      <c r="AX95" s="6" t="s">
        <v>746</v>
      </c>
    </row>
    <row r="96" spans="1:50" ht="70" x14ac:dyDescent="0.2">
      <c r="A96" s="3" t="s">
        <v>582</v>
      </c>
      <c r="B96" s="3" t="s">
        <v>224</v>
      </c>
      <c r="C96" s="3">
        <v>316869348</v>
      </c>
      <c r="D96" s="3" t="s">
        <v>225</v>
      </c>
      <c r="E96" s="3" t="s">
        <v>59</v>
      </c>
      <c r="F96" s="3" t="s">
        <v>46</v>
      </c>
      <c r="G96" s="3" t="s">
        <v>46</v>
      </c>
      <c r="H96" s="3" t="s">
        <v>382</v>
      </c>
      <c r="I96" s="3" t="s">
        <v>519</v>
      </c>
      <c r="J96" s="20" t="s">
        <v>583</v>
      </c>
      <c r="K96" s="3">
        <v>2.3291925465838501E-2</v>
      </c>
      <c r="L96" s="3">
        <v>322</v>
      </c>
      <c r="M96" s="3">
        <v>0.85163302113436901</v>
      </c>
      <c r="N96" s="20" t="s">
        <v>579</v>
      </c>
      <c r="O96" s="20" t="s">
        <v>584</v>
      </c>
      <c r="P96" s="3">
        <v>1</v>
      </c>
      <c r="Q96" s="3">
        <v>0</v>
      </c>
      <c r="R96" s="3">
        <v>0</v>
      </c>
      <c r="S96" s="3">
        <v>0</v>
      </c>
      <c r="T96" s="3">
        <v>0</v>
      </c>
      <c r="U96" s="3">
        <v>343</v>
      </c>
      <c r="V96" s="3">
        <v>13</v>
      </c>
      <c r="W96" s="3">
        <v>0</v>
      </c>
      <c r="X96" s="3">
        <v>0</v>
      </c>
      <c r="Y96" s="3">
        <v>0</v>
      </c>
      <c r="Z96" s="3">
        <v>0</v>
      </c>
      <c r="AA96" s="3">
        <v>0</v>
      </c>
      <c r="AB96" s="3">
        <v>0.96078431372549</v>
      </c>
      <c r="AC96" s="3">
        <v>0</v>
      </c>
      <c r="AD96" s="3">
        <v>0</v>
      </c>
      <c r="AE96" s="3">
        <v>0</v>
      </c>
      <c r="AF96" s="3">
        <v>2.80112044817927E-3</v>
      </c>
      <c r="AG96" s="3">
        <v>0</v>
      </c>
      <c r="AH96" s="3">
        <v>0</v>
      </c>
      <c r="AI96" s="3">
        <v>3.64145658263305E-2</v>
      </c>
      <c r="AJ96" s="3">
        <v>0</v>
      </c>
      <c r="AK96" s="3">
        <v>0.97899159663865598</v>
      </c>
      <c r="AL96" s="3">
        <v>2.1008403361344501E-2</v>
      </c>
      <c r="AM96" s="3">
        <v>0</v>
      </c>
      <c r="AN96" s="3">
        <v>0</v>
      </c>
      <c r="AO96" s="3">
        <v>1.6666666666666701E-2</v>
      </c>
      <c r="AP96" s="3">
        <v>4.9190938511326901E-2</v>
      </c>
      <c r="AQ96" s="3" t="s">
        <v>743</v>
      </c>
      <c r="AR96" s="3" t="s">
        <v>744</v>
      </c>
      <c r="AS96" s="3" t="s">
        <v>913</v>
      </c>
      <c r="AT96" s="3"/>
      <c r="AU96" s="3"/>
      <c r="AV96" s="3"/>
      <c r="AW96" s="8" t="s">
        <v>745</v>
      </c>
      <c r="AX96" s="6" t="s">
        <v>746</v>
      </c>
    </row>
    <row r="97" spans="1:50" x14ac:dyDescent="0.2">
      <c r="A97" s="3" t="s">
        <v>585</v>
      </c>
      <c r="B97" s="3" t="s">
        <v>224</v>
      </c>
      <c r="C97" s="3">
        <v>343702896</v>
      </c>
      <c r="D97" s="3" t="s">
        <v>127</v>
      </c>
      <c r="E97" s="3" t="s">
        <v>45</v>
      </c>
      <c r="F97" s="3" t="s">
        <v>53</v>
      </c>
      <c r="G97" s="3" t="s">
        <v>53</v>
      </c>
      <c r="H97" s="3" t="s">
        <v>382</v>
      </c>
      <c r="I97" s="3" t="s">
        <v>519</v>
      </c>
      <c r="J97" s="20" t="s">
        <v>586</v>
      </c>
      <c r="K97" s="3">
        <v>1.5527950310558799E-3</v>
      </c>
      <c r="L97" s="3">
        <v>322</v>
      </c>
      <c r="M97" s="3">
        <v>-0.39541842466085497</v>
      </c>
      <c r="N97" s="3">
        <v>1.0948348639649799E-3</v>
      </c>
      <c r="O97" s="3">
        <v>0</v>
      </c>
      <c r="P97" s="3">
        <v>0</v>
      </c>
      <c r="Q97" s="3">
        <v>0</v>
      </c>
      <c r="R97" s="3">
        <v>5</v>
      </c>
      <c r="S97" s="3">
        <v>0</v>
      </c>
      <c r="T97" s="3">
        <v>287</v>
      </c>
      <c r="U97" s="3">
        <v>0</v>
      </c>
      <c r="V97" s="3">
        <v>0</v>
      </c>
      <c r="W97" s="3">
        <v>0</v>
      </c>
      <c r="X97" s="3">
        <v>0</v>
      </c>
      <c r="Y97" s="3">
        <v>65</v>
      </c>
      <c r="Z97" s="3">
        <v>0</v>
      </c>
      <c r="AA97" s="3">
        <v>0.80392156862745101</v>
      </c>
      <c r="AB97" s="3">
        <v>0</v>
      </c>
      <c r="AC97" s="3">
        <v>0</v>
      </c>
      <c r="AD97" s="3">
        <v>1.4005602240896401E-2</v>
      </c>
      <c r="AE97" s="3">
        <v>0</v>
      </c>
      <c r="AF97" s="3">
        <v>0</v>
      </c>
      <c r="AG97" s="3">
        <v>0</v>
      </c>
      <c r="AH97" s="3">
        <v>0.18207282913165301</v>
      </c>
      <c r="AI97" s="3">
        <v>0</v>
      </c>
      <c r="AJ97" s="3">
        <v>0.105042016806723</v>
      </c>
      <c r="AK97" s="3">
        <v>0</v>
      </c>
      <c r="AL97" s="3">
        <v>0</v>
      </c>
      <c r="AM97" s="3">
        <v>0.89495798319327702</v>
      </c>
      <c r="AN97" s="3">
        <v>0</v>
      </c>
      <c r="AO97" s="3">
        <v>4.4262295081967197E-2</v>
      </c>
      <c r="AP97" s="3">
        <v>4.9416342412451401E-2</v>
      </c>
      <c r="AQ97" s="3"/>
      <c r="AR97" s="3"/>
      <c r="AS97" s="3"/>
      <c r="AT97" s="3"/>
      <c r="AU97" s="3"/>
      <c r="AV97" s="3"/>
      <c r="AW97" s="6"/>
      <c r="AX97" s="6"/>
    </row>
    <row r="98" spans="1:50" ht="168" x14ac:dyDescent="0.2">
      <c r="A98" s="3" t="s">
        <v>587</v>
      </c>
      <c r="B98" s="3" t="s">
        <v>70</v>
      </c>
      <c r="C98" s="3">
        <v>61086311</v>
      </c>
      <c r="D98" s="3" t="s">
        <v>139</v>
      </c>
      <c r="E98" s="3" t="s">
        <v>46</v>
      </c>
      <c r="F98" s="3" t="s">
        <v>45</v>
      </c>
      <c r="G98" s="3" t="s">
        <v>45</v>
      </c>
      <c r="H98" s="3" t="s">
        <v>382</v>
      </c>
      <c r="I98" s="3" t="s">
        <v>519</v>
      </c>
      <c r="J98" s="20" t="s">
        <v>588</v>
      </c>
      <c r="K98" s="3">
        <v>2.3291925465838501E-2</v>
      </c>
      <c r="L98" s="3">
        <v>322</v>
      </c>
      <c r="M98" s="3">
        <v>0.315278666992588</v>
      </c>
      <c r="N98" s="20" t="s">
        <v>589</v>
      </c>
      <c r="O98" s="3">
        <v>1.01010831515507</v>
      </c>
      <c r="P98" s="3">
        <v>303</v>
      </c>
      <c r="Q98" s="3">
        <v>0</v>
      </c>
      <c r="R98" s="3">
        <v>0</v>
      </c>
      <c r="S98" s="3">
        <v>53</v>
      </c>
      <c r="T98" s="3">
        <v>1</v>
      </c>
      <c r="U98" s="3">
        <v>0</v>
      </c>
      <c r="V98" s="3">
        <v>0</v>
      </c>
      <c r="W98" s="3">
        <v>0</v>
      </c>
      <c r="X98" s="3">
        <v>0</v>
      </c>
      <c r="Y98" s="3">
        <v>0</v>
      </c>
      <c r="Z98" s="3">
        <v>0</v>
      </c>
      <c r="AA98" s="3">
        <v>2.80112044817927E-3</v>
      </c>
      <c r="AB98" s="3">
        <v>0</v>
      </c>
      <c r="AC98" s="3">
        <v>0</v>
      </c>
      <c r="AD98" s="3">
        <v>0</v>
      </c>
      <c r="AE98" s="3">
        <v>0</v>
      </c>
      <c r="AF98" s="3">
        <v>0.84873949579831898</v>
      </c>
      <c r="AG98" s="3">
        <v>0.14845938375350101</v>
      </c>
      <c r="AH98" s="3">
        <v>0</v>
      </c>
      <c r="AI98" s="3">
        <v>0</v>
      </c>
      <c r="AJ98" s="3">
        <v>0</v>
      </c>
      <c r="AK98" s="3">
        <v>0</v>
      </c>
      <c r="AL98" s="3">
        <v>0.92296918767506997</v>
      </c>
      <c r="AM98" s="3">
        <v>7.7030812324930004E-2</v>
      </c>
      <c r="AN98" s="3">
        <v>0</v>
      </c>
      <c r="AO98" s="3">
        <v>4.8837209302325602E-2</v>
      </c>
      <c r="AP98" s="3">
        <v>4.7841726618704998E-2</v>
      </c>
      <c r="AQ98" s="3" t="s">
        <v>747</v>
      </c>
      <c r="AR98" s="3" t="s">
        <v>748</v>
      </c>
      <c r="AS98" s="3" t="s">
        <v>749</v>
      </c>
      <c r="AT98" s="3" t="s">
        <v>636</v>
      </c>
      <c r="AU98" s="4">
        <v>1</v>
      </c>
      <c r="AV98" s="5">
        <v>0.95020000000000004</v>
      </c>
      <c r="AW98" s="8" t="s">
        <v>750</v>
      </c>
      <c r="AX98" s="6" t="s">
        <v>922</v>
      </c>
    </row>
    <row r="99" spans="1:50" x14ac:dyDescent="0.2">
      <c r="A99" s="3" t="s">
        <v>590</v>
      </c>
      <c r="B99" s="3" t="s">
        <v>70</v>
      </c>
      <c r="C99" s="3">
        <v>65302073</v>
      </c>
      <c r="D99" s="3" t="s">
        <v>71</v>
      </c>
      <c r="E99" s="3" t="s">
        <v>45</v>
      </c>
      <c r="F99" s="3" t="s">
        <v>59</v>
      </c>
      <c r="G99" s="3" t="s">
        <v>59</v>
      </c>
      <c r="H99" s="3" t="s">
        <v>382</v>
      </c>
      <c r="I99" s="3" t="s">
        <v>519</v>
      </c>
      <c r="J99" s="20" t="s">
        <v>591</v>
      </c>
      <c r="K99" s="3">
        <v>2.1739130434782601E-2</v>
      </c>
      <c r="L99" s="3">
        <v>322</v>
      </c>
      <c r="M99" s="3">
        <v>1.3288871357330301</v>
      </c>
      <c r="N99" s="20" t="s">
        <v>592</v>
      </c>
      <c r="O99" s="3">
        <v>0</v>
      </c>
      <c r="P99" s="3">
        <v>0</v>
      </c>
      <c r="Q99" s="3">
        <v>0</v>
      </c>
      <c r="R99" s="3">
        <v>0</v>
      </c>
      <c r="S99" s="3">
        <v>0</v>
      </c>
      <c r="T99" s="3">
        <v>357</v>
      </c>
      <c r="U99" s="3">
        <v>0</v>
      </c>
      <c r="V99" s="3">
        <v>0</v>
      </c>
      <c r="W99" s="3">
        <v>0</v>
      </c>
      <c r="X99" s="3">
        <v>0</v>
      </c>
      <c r="Y99" s="3">
        <v>0</v>
      </c>
      <c r="Z99" s="3">
        <v>0</v>
      </c>
      <c r="AA99" s="3">
        <v>1</v>
      </c>
      <c r="AB99" s="3">
        <v>0</v>
      </c>
      <c r="AC99" s="3">
        <v>0</v>
      </c>
      <c r="AD99" s="3">
        <v>0</v>
      </c>
      <c r="AE99" s="3">
        <v>0</v>
      </c>
      <c r="AF99" s="3">
        <v>0</v>
      </c>
      <c r="AG99" s="3">
        <v>0</v>
      </c>
      <c r="AH99" s="3">
        <v>0</v>
      </c>
      <c r="AI99" s="3">
        <v>0</v>
      </c>
      <c r="AJ99" s="3">
        <v>0</v>
      </c>
      <c r="AK99" s="3">
        <v>0</v>
      </c>
      <c r="AL99" s="3">
        <v>0</v>
      </c>
      <c r="AM99" s="3">
        <v>1</v>
      </c>
      <c r="AN99" s="3" t="s">
        <v>55</v>
      </c>
      <c r="AO99" s="3" t="s">
        <v>55</v>
      </c>
      <c r="AP99" s="3">
        <v>4.7826086956521699E-2</v>
      </c>
      <c r="AQ99" s="3"/>
      <c r="AR99" s="3"/>
      <c r="AS99" s="3"/>
      <c r="AT99" s="3"/>
      <c r="AU99" s="3"/>
      <c r="AV99" s="3"/>
      <c r="AW99" s="6"/>
      <c r="AX99" s="6"/>
    </row>
    <row r="100" spans="1:50" ht="168" x14ac:dyDescent="0.2">
      <c r="A100" s="3" t="s">
        <v>593</v>
      </c>
      <c r="B100" s="3" t="s">
        <v>70</v>
      </c>
      <c r="C100" s="3">
        <v>65547475</v>
      </c>
      <c r="D100" s="3" t="s">
        <v>71</v>
      </c>
      <c r="E100" s="3" t="s">
        <v>45</v>
      </c>
      <c r="F100" s="3" t="s">
        <v>59</v>
      </c>
      <c r="G100" s="3" t="s">
        <v>59</v>
      </c>
      <c r="H100" s="3" t="s">
        <v>382</v>
      </c>
      <c r="I100" s="3" t="s">
        <v>519</v>
      </c>
      <c r="J100" s="20" t="s">
        <v>591</v>
      </c>
      <c r="K100" s="3">
        <v>2.1739130434782601E-2</v>
      </c>
      <c r="L100" s="3">
        <v>322</v>
      </c>
      <c r="M100" s="3">
        <v>1.3288871357330301</v>
      </c>
      <c r="N100" s="20" t="s">
        <v>592</v>
      </c>
      <c r="O100" s="3">
        <v>0</v>
      </c>
      <c r="P100" s="3">
        <v>0</v>
      </c>
      <c r="Q100" s="3">
        <v>0</v>
      </c>
      <c r="R100" s="3">
        <v>0</v>
      </c>
      <c r="S100" s="3">
        <v>0</v>
      </c>
      <c r="T100" s="3">
        <v>346</v>
      </c>
      <c r="U100" s="3">
        <v>0</v>
      </c>
      <c r="V100" s="3">
        <v>0</v>
      </c>
      <c r="W100" s="3">
        <v>11</v>
      </c>
      <c r="X100" s="3">
        <v>0</v>
      </c>
      <c r="Y100" s="3">
        <v>0</v>
      </c>
      <c r="Z100" s="3">
        <v>3.0812324929972001E-2</v>
      </c>
      <c r="AA100" s="3">
        <v>0.96918767507002801</v>
      </c>
      <c r="AB100" s="3">
        <v>0</v>
      </c>
      <c r="AC100" s="3">
        <v>0</v>
      </c>
      <c r="AD100" s="3">
        <v>0</v>
      </c>
      <c r="AE100" s="3">
        <v>0</v>
      </c>
      <c r="AF100" s="3">
        <v>0</v>
      </c>
      <c r="AG100" s="3">
        <v>0</v>
      </c>
      <c r="AH100" s="3">
        <v>0</v>
      </c>
      <c r="AI100" s="3">
        <v>0</v>
      </c>
      <c r="AJ100" s="3">
        <v>0</v>
      </c>
      <c r="AK100" s="3">
        <v>1.5406162464986E-2</v>
      </c>
      <c r="AL100" s="3">
        <v>0</v>
      </c>
      <c r="AM100" s="3">
        <v>0.98459383753501395</v>
      </c>
      <c r="AN100" s="3" t="s">
        <v>55</v>
      </c>
      <c r="AO100" s="3">
        <v>1.8181818181818198E-2</v>
      </c>
      <c r="AP100" s="3">
        <v>4.8874598070739503E-2</v>
      </c>
      <c r="AQ100" s="3" t="s">
        <v>751</v>
      </c>
      <c r="AR100" s="3" t="s">
        <v>752</v>
      </c>
      <c r="AS100" s="3" t="s">
        <v>913</v>
      </c>
      <c r="AT100" s="3"/>
      <c r="AU100" s="3"/>
      <c r="AV100" s="3"/>
      <c r="AW100" s="11" t="s">
        <v>944</v>
      </c>
      <c r="AX100" s="6" t="s">
        <v>945</v>
      </c>
    </row>
    <row r="101" spans="1:50" ht="56" x14ac:dyDescent="0.2">
      <c r="A101" s="3" t="s">
        <v>594</v>
      </c>
      <c r="B101" s="3" t="s">
        <v>70</v>
      </c>
      <c r="C101" s="3">
        <v>67144799</v>
      </c>
      <c r="D101" s="3" t="s">
        <v>58</v>
      </c>
      <c r="E101" s="3" t="s">
        <v>59</v>
      </c>
      <c r="F101" s="3" t="s">
        <v>46</v>
      </c>
      <c r="G101" s="3" t="s">
        <v>59</v>
      </c>
      <c r="H101" s="3" t="s">
        <v>382</v>
      </c>
      <c r="I101" s="3" t="s">
        <v>519</v>
      </c>
      <c r="J101" s="20" t="s">
        <v>595</v>
      </c>
      <c r="K101" s="3">
        <v>2.3291925465838501E-2</v>
      </c>
      <c r="L101" s="3">
        <v>322</v>
      </c>
      <c r="M101" s="3">
        <v>-8.5503512407780299E-2</v>
      </c>
      <c r="N101" s="20" t="s">
        <v>596</v>
      </c>
      <c r="O101" s="3">
        <v>0</v>
      </c>
      <c r="P101" s="3">
        <v>334</v>
      </c>
      <c r="Q101" s="3">
        <v>0</v>
      </c>
      <c r="R101" s="3">
        <v>0</v>
      </c>
      <c r="S101" s="3">
        <v>0</v>
      </c>
      <c r="T101" s="3">
        <v>0</v>
      </c>
      <c r="U101" s="3">
        <v>3</v>
      </c>
      <c r="V101" s="3">
        <v>20</v>
      </c>
      <c r="W101" s="3">
        <v>0</v>
      </c>
      <c r="X101" s="3">
        <v>0</v>
      </c>
      <c r="Y101" s="3">
        <v>0</v>
      </c>
      <c r="Z101" s="3">
        <v>0</v>
      </c>
      <c r="AA101" s="3">
        <v>0</v>
      </c>
      <c r="AB101" s="3">
        <v>8.4033613445378096E-3</v>
      </c>
      <c r="AC101" s="3">
        <v>0</v>
      </c>
      <c r="AD101" s="3">
        <v>0</v>
      </c>
      <c r="AE101" s="3">
        <v>0</v>
      </c>
      <c r="AF101" s="3">
        <v>0.93557422969187698</v>
      </c>
      <c r="AG101" s="3">
        <v>0</v>
      </c>
      <c r="AH101" s="3">
        <v>0</v>
      </c>
      <c r="AI101" s="3">
        <v>5.6022408963585402E-2</v>
      </c>
      <c r="AJ101" s="3">
        <v>0</v>
      </c>
      <c r="AK101" s="3">
        <v>3.64145658263305E-2</v>
      </c>
      <c r="AL101" s="3">
        <v>0.96358543417367004</v>
      </c>
      <c r="AM101" s="3">
        <v>0</v>
      </c>
      <c r="AN101" s="3">
        <v>0</v>
      </c>
      <c r="AO101" s="3">
        <v>3.8888888888888903E-2</v>
      </c>
      <c r="AP101" s="3">
        <v>4.8675496688741701E-2</v>
      </c>
      <c r="AQ101" s="3" t="s">
        <v>633</v>
      </c>
      <c r="AR101" s="3" t="s">
        <v>634</v>
      </c>
      <c r="AS101" s="3" t="s">
        <v>913</v>
      </c>
      <c r="AT101" s="3"/>
      <c r="AU101" s="3"/>
      <c r="AV101" s="3"/>
      <c r="AW101" s="10" t="s">
        <v>637</v>
      </c>
      <c r="AX101" s="6" t="s">
        <v>638</v>
      </c>
    </row>
    <row r="102" spans="1:50" x14ac:dyDescent="0.2">
      <c r="A102" s="3" t="s">
        <v>597</v>
      </c>
      <c r="B102" s="3" t="s">
        <v>108</v>
      </c>
      <c r="C102" s="3">
        <v>110712558</v>
      </c>
      <c r="D102" s="3" t="s">
        <v>71</v>
      </c>
      <c r="E102" s="3" t="s">
        <v>45</v>
      </c>
      <c r="F102" s="3" t="s">
        <v>59</v>
      </c>
      <c r="G102" s="3" t="s">
        <v>59</v>
      </c>
      <c r="H102" s="3" t="s">
        <v>382</v>
      </c>
      <c r="I102" s="3" t="s">
        <v>519</v>
      </c>
      <c r="J102" s="20" t="s">
        <v>598</v>
      </c>
      <c r="K102" s="3">
        <v>4.6583850931677401E-3</v>
      </c>
      <c r="L102" s="3">
        <v>322</v>
      </c>
      <c r="M102" s="3">
        <v>4.58500139920517E-2</v>
      </c>
      <c r="N102" s="3">
        <v>1.7092376192681099E-4</v>
      </c>
      <c r="O102" s="3">
        <v>0</v>
      </c>
      <c r="P102" s="3">
        <v>0</v>
      </c>
      <c r="Q102" s="3">
        <v>0</v>
      </c>
      <c r="R102" s="3">
        <v>0</v>
      </c>
      <c r="S102" s="3">
        <v>0</v>
      </c>
      <c r="T102" s="3">
        <v>271</v>
      </c>
      <c r="U102" s="3">
        <v>4</v>
      </c>
      <c r="V102" s="3">
        <v>0</v>
      </c>
      <c r="W102" s="3">
        <v>82</v>
      </c>
      <c r="X102" s="3">
        <v>0</v>
      </c>
      <c r="Y102" s="3">
        <v>0</v>
      </c>
      <c r="Z102" s="3">
        <v>0.22969187675069999</v>
      </c>
      <c r="AA102" s="3">
        <v>0.75910364145658304</v>
      </c>
      <c r="AB102" s="3">
        <v>1.1204481792717101E-2</v>
      </c>
      <c r="AC102" s="3">
        <v>0</v>
      </c>
      <c r="AD102" s="3">
        <v>0</v>
      </c>
      <c r="AE102" s="3">
        <v>0</v>
      </c>
      <c r="AF102" s="3">
        <v>0</v>
      </c>
      <c r="AG102" s="3">
        <v>0</v>
      </c>
      <c r="AH102" s="3">
        <v>0</v>
      </c>
      <c r="AI102" s="3">
        <v>0</v>
      </c>
      <c r="AJ102" s="3">
        <v>0</v>
      </c>
      <c r="AK102" s="3">
        <v>0.126050420168067</v>
      </c>
      <c r="AL102" s="3">
        <v>0</v>
      </c>
      <c r="AM102" s="3">
        <v>0.873949579831933</v>
      </c>
      <c r="AN102" s="3">
        <v>7.4999999999999997E-2</v>
      </c>
      <c r="AO102" s="3">
        <v>4.72972972972973E-2</v>
      </c>
      <c r="AP102" s="3">
        <v>4.7540983606557403E-2</v>
      </c>
      <c r="AQ102" s="3"/>
      <c r="AR102" s="3"/>
      <c r="AS102" s="3"/>
      <c r="AT102" s="3"/>
      <c r="AU102" s="3"/>
      <c r="AV102" s="3"/>
      <c r="AW102" s="6"/>
      <c r="AX102" s="6"/>
    </row>
    <row r="103" spans="1:50" x14ac:dyDescent="0.2">
      <c r="A103" s="3" t="s">
        <v>599</v>
      </c>
      <c r="B103" s="3" t="s">
        <v>198</v>
      </c>
      <c r="C103" s="3">
        <v>45545812</v>
      </c>
      <c r="D103" s="3" t="s">
        <v>52</v>
      </c>
      <c r="E103" s="3" t="s">
        <v>46</v>
      </c>
      <c r="F103" s="3" t="s">
        <v>53</v>
      </c>
      <c r="G103" s="3" t="s">
        <v>53</v>
      </c>
      <c r="H103" s="3" t="s">
        <v>382</v>
      </c>
      <c r="I103" s="3" t="s">
        <v>519</v>
      </c>
      <c r="J103" s="20" t="s">
        <v>600</v>
      </c>
      <c r="K103" s="3">
        <v>3.1055900621117499E-3</v>
      </c>
      <c r="L103" s="3">
        <v>322</v>
      </c>
      <c r="M103" s="3">
        <v>-0.27313004911911998</v>
      </c>
      <c r="N103" s="3">
        <v>6.2303225396212697E-4</v>
      </c>
      <c r="O103" s="3">
        <v>0</v>
      </c>
      <c r="P103" s="3">
        <v>326</v>
      </c>
      <c r="Q103" s="3">
        <v>31</v>
      </c>
      <c r="R103" s="3">
        <v>0</v>
      </c>
      <c r="S103" s="3">
        <v>0</v>
      </c>
      <c r="T103" s="3">
        <v>0</v>
      </c>
      <c r="U103" s="3">
        <v>0</v>
      </c>
      <c r="V103" s="3">
        <v>0</v>
      </c>
      <c r="W103" s="3">
        <v>0</v>
      </c>
      <c r="X103" s="3">
        <v>0</v>
      </c>
      <c r="Y103" s="3">
        <v>0</v>
      </c>
      <c r="Z103" s="3">
        <v>0</v>
      </c>
      <c r="AA103" s="3">
        <v>0</v>
      </c>
      <c r="AB103" s="3">
        <v>0</v>
      </c>
      <c r="AC103" s="3">
        <v>0</v>
      </c>
      <c r="AD103" s="3">
        <v>0</v>
      </c>
      <c r="AE103" s="3">
        <v>8.6834733893557406E-2</v>
      </c>
      <c r="AF103" s="3">
        <v>0.913165266106443</v>
      </c>
      <c r="AG103" s="3">
        <v>0</v>
      </c>
      <c r="AH103" s="3">
        <v>0</v>
      </c>
      <c r="AI103" s="3">
        <v>0</v>
      </c>
      <c r="AJ103" s="3">
        <v>4.3417366946778703E-2</v>
      </c>
      <c r="AK103" s="3">
        <v>0</v>
      </c>
      <c r="AL103" s="3">
        <v>0.956582633053221</v>
      </c>
      <c r="AM103" s="3">
        <v>0</v>
      </c>
      <c r="AN103" s="3" t="s">
        <v>55</v>
      </c>
      <c r="AO103" s="3">
        <v>4.0740740740740702E-2</v>
      </c>
      <c r="AP103" s="3">
        <v>4.8474576271186398E-2</v>
      </c>
      <c r="AQ103" s="3"/>
      <c r="AR103" s="3"/>
      <c r="AS103" s="3"/>
      <c r="AT103" s="3"/>
      <c r="AU103" s="3"/>
      <c r="AV103" s="3"/>
      <c r="AW103" s="6"/>
      <c r="AX103" s="6"/>
    </row>
    <row r="104" spans="1:50" x14ac:dyDescent="0.2">
      <c r="A104" s="3" t="s">
        <v>254</v>
      </c>
      <c r="B104" s="3" t="s">
        <v>70</v>
      </c>
      <c r="C104" s="3">
        <v>402885068</v>
      </c>
      <c r="D104" s="3" t="s">
        <v>71</v>
      </c>
      <c r="E104" s="3" t="s">
        <v>59</v>
      </c>
      <c r="F104" s="3" t="s">
        <v>45</v>
      </c>
      <c r="G104" s="3" t="s">
        <v>59</v>
      </c>
      <c r="H104" s="3" t="s">
        <v>255</v>
      </c>
      <c r="I104" s="3" t="s">
        <v>181</v>
      </c>
      <c r="J104" s="20" t="s">
        <v>256</v>
      </c>
      <c r="K104" s="3">
        <v>6.1576354679802901E-2</v>
      </c>
      <c r="L104" s="3">
        <v>406</v>
      </c>
      <c r="M104" s="3">
        <v>-1.5478423177422</v>
      </c>
      <c r="N104" s="3">
        <v>4.0098142655129298E-3</v>
      </c>
      <c r="O104" s="3">
        <v>0</v>
      </c>
      <c r="P104" s="3">
        <v>0</v>
      </c>
      <c r="Q104" s="3">
        <v>0</v>
      </c>
      <c r="R104" s="3">
        <v>0</v>
      </c>
      <c r="S104" s="3">
        <v>0</v>
      </c>
      <c r="T104" s="3">
        <v>264</v>
      </c>
      <c r="U104" s="3">
        <v>13</v>
      </c>
      <c r="V104" s="3">
        <v>0</v>
      </c>
      <c r="W104" s="3">
        <v>152</v>
      </c>
      <c r="X104" s="3">
        <v>0</v>
      </c>
      <c r="Y104" s="3">
        <v>0</v>
      </c>
      <c r="Z104" s="3">
        <v>0.35431235431235403</v>
      </c>
      <c r="AA104" s="3">
        <v>0.61538461538461497</v>
      </c>
      <c r="AB104" s="3">
        <v>3.03030303030303E-2</v>
      </c>
      <c r="AC104" s="3">
        <v>0</v>
      </c>
      <c r="AD104" s="3">
        <v>0</v>
      </c>
      <c r="AE104" s="3">
        <v>0</v>
      </c>
      <c r="AF104" s="3">
        <v>0</v>
      </c>
      <c r="AG104" s="3">
        <v>0</v>
      </c>
      <c r="AH104" s="3">
        <v>0</v>
      </c>
      <c r="AI104" s="3">
        <v>0</v>
      </c>
      <c r="AJ104" s="3">
        <v>0</v>
      </c>
      <c r="AK104" s="3">
        <v>0.20745920745920701</v>
      </c>
      <c r="AL104" s="3">
        <v>0</v>
      </c>
      <c r="AM104" s="3">
        <v>0.79254079254079302</v>
      </c>
      <c r="AN104" s="3">
        <v>3.3846153846153801</v>
      </c>
      <c r="AO104" s="3">
        <v>2.6595744680851099</v>
      </c>
      <c r="AP104" s="3">
        <v>2.5634920634920602</v>
      </c>
      <c r="AQ104" s="3" t="s">
        <v>755</v>
      </c>
      <c r="AR104" s="3" t="s">
        <v>643</v>
      </c>
      <c r="AS104" s="3" t="s">
        <v>913</v>
      </c>
      <c r="AT104" s="3"/>
      <c r="AU104" s="3"/>
      <c r="AV104" s="3"/>
      <c r="AW104" s="6"/>
      <c r="AX104" s="6"/>
    </row>
    <row r="105" spans="1:50" x14ac:dyDescent="0.2">
      <c r="A105" s="3" t="s">
        <v>459</v>
      </c>
      <c r="B105" s="3" t="s">
        <v>57</v>
      </c>
      <c r="C105" s="3">
        <v>53540326</v>
      </c>
      <c r="D105" s="3" t="s">
        <v>225</v>
      </c>
      <c r="E105" s="3" t="s">
        <v>59</v>
      </c>
      <c r="F105" s="3" t="s">
        <v>46</v>
      </c>
      <c r="G105" s="3" t="s">
        <v>46</v>
      </c>
      <c r="H105" s="3" t="s">
        <v>255</v>
      </c>
      <c r="I105" s="3" t="s">
        <v>432</v>
      </c>
      <c r="J105" s="20" t="s">
        <v>460</v>
      </c>
      <c r="K105" s="3">
        <v>9.8039215686274196E-3</v>
      </c>
      <c r="L105" s="3">
        <v>306</v>
      </c>
      <c r="M105" s="3">
        <v>15.369248345316</v>
      </c>
      <c r="N105" s="3">
        <v>1.4674515431360399E-4</v>
      </c>
      <c r="O105" s="20" t="s">
        <v>461</v>
      </c>
      <c r="P105" s="3">
        <v>34</v>
      </c>
      <c r="Q105" s="3">
        <v>0</v>
      </c>
      <c r="R105" s="3">
        <v>0</v>
      </c>
      <c r="S105" s="3">
        <v>0</v>
      </c>
      <c r="T105" s="3">
        <v>0</v>
      </c>
      <c r="U105" s="3">
        <v>175</v>
      </c>
      <c r="V105" s="3">
        <v>148</v>
      </c>
      <c r="W105" s="3">
        <v>0</v>
      </c>
      <c r="X105" s="3">
        <v>0</v>
      </c>
      <c r="Y105" s="3">
        <v>0</v>
      </c>
      <c r="Z105" s="3">
        <v>0</v>
      </c>
      <c r="AA105" s="3">
        <v>0</v>
      </c>
      <c r="AB105" s="3">
        <v>0.49019607843137297</v>
      </c>
      <c r="AC105" s="3">
        <v>0</v>
      </c>
      <c r="AD105" s="3">
        <v>0</v>
      </c>
      <c r="AE105" s="3">
        <v>0</v>
      </c>
      <c r="AF105" s="3">
        <v>9.5238095238095205E-2</v>
      </c>
      <c r="AG105" s="3">
        <v>0</v>
      </c>
      <c r="AH105" s="3">
        <v>0</v>
      </c>
      <c r="AI105" s="3">
        <v>0.41456582633053202</v>
      </c>
      <c r="AJ105" s="3">
        <v>0</v>
      </c>
      <c r="AK105" s="3">
        <v>0.69747899159663895</v>
      </c>
      <c r="AL105" s="3">
        <v>0.30252100840336099</v>
      </c>
      <c r="AM105" s="3">
        <v>0</v>
      </c>
      <c r="AN105" s="3">
        <v>1.28125</v>
      </c>
      <c r="AO105" s="3">
        <v>0.828125</v>
      </c>
      <c r="AP105" s="3">
        <v>0.79452054794520499</v>
      </c>
      <c r="AQ105" s="3"/>
      <c r="AR105" s="3"/>
      <c r="AS105" s="3"/>
      <c r="AT105" s="3"/>
      <c r="AU105" s="3"/>
      <c r="AV105" s="3"/>
      <c r="AW105" s="6"/>
      <c r="AX105" s="6"/>
    </row>
    <row r="106" spans="1:50" ht="70" x14ac:dyDescent="0.2">
      <c r="A106" s="3" t="s">
        <v>462</v>
      </c>
      <c r="B106" s="3" t="s">
        <v>57</v>
      </c>
      <c r="C106" s="3">
        <v>74519901</v>
      </c>
      <c r="D106" s="3" t="s">
        <v>44</v>
      </c>
      <c r="E106" s="3" t="s">
        <v>45</v>
      </c>
      <c r="F106" s="3" t="s">
        <v>46</v>
      </c>
      <c r="G106" s="3" t="s">
        <v>46</v>
      </c>
      <c r="H106" s="3" t="s">
        <v>255</v>
      </c>
      <c r="I106" s="3" t="s">
        <v>432</v>
      </c>
      <c r="J106" s="20" t="s">
        <v>463</v>
      </c>
      <c r="K106" s="3">
        <v>1.1437908496731999E-2</v>
      </c>
      <c r="L106" s="3">
        <v>306</v>
      </c>
      <c r="M106" s="3">
        <v>-0.95296531855385103</v>
      </c>
      <c r="N106" s="20" t="s">
        <v>464</v>
      </c>
      <c r="O106" s="3">
        <v>93.660087193512695</v>
      </c>
      <c r="P106" s="3">
        <v>8</v>
      </c>
      <c r="Q106" s="3">
        <v>0</v>
      </c>
      <c r="R106" s="3">
        <v>0</v>
      </c>
      <c r="S106" s="3">
        <v>266</v>
      </c>
      <c r="T106" s="3">
        <v>83</v>
      </c>
      <c r="U106" s="3">
        <v>0</v>
      </c>
      <c r="V106" s="3">
        <v>0</v>
      </c>
      <c r="W106" s="3">
        <v>0</v>
      </c>
      <c r="X106" s="3">
        <v>0</v>
      </c>
      <c r="Y106" s="3">
        <v>0</v>
      </c>
      <c r="Z106" s="3">
        <v>0</v>
      </c>
      <c r="AA106" s="3">
        <v>0.23249299719888</v>
      </c>
      <c r="AB106" s="3">
        <v>0</v>
      </c>
      <c r="AC106" s="3">
        <v>0</v>
      </c>
      <c r="AD106" s="3">
        <v>0</v>
      </c>
      <c r="AE106" s="3">
        <v>0</v>
      </c>
      <c r="AF106" s="3">
        <v>2.2408963585434202E-2</v>
      </c>
      <c r="AG106" s="3">
        <v>0.74509803921568596</v>
      </c>
      <c r="AH106" s="3">
        <v>0</v>
      </c>
      <c r="AI106" s="3">
        <v>0</v>
      </c>
      <c r="AJ106" s="3">
        <v>0</v>
      </c>
      <c r="AK106" s="3">
        <v>0</v>
      </c>
      <c r="AL106" s="3">
        <v>0.39495798319327702</v>
      </c>
      <c r="AM106" s="3">
        <v>0.60504201680672298</v>
      </c>
      <c r="AN106" s="3">
        <v>0.28571428571428598</v>
      </c>
      <c r="AO106" s="3">
        <v>0.68584070796460195</v>
      </c>
      <c r="AP106" s="3">
        <v>1.45205479452055</v>
      </c>
      <c r="AQ106" s="3" t="s">
        <v>756</v>
      </c>
      <c r="AR106" s="3" t="s">
        <v>739</v>
      </c>
      <c r="AS106" s="3" t="s">
        <v>757</v>
      </c>
      <c r="AT106" s="3" t="s">
        <v>636</v>
      </c>
      <c r="AU106" s="4">
        <v>1</v>
      </c>
      <c r="AV106" s="5">
        <v>0.97550000000000003</v>
      </c>
      <c r="AW106" s="8" t="s">
        <v>741</v>
      </c>
      <c r="AX106" s="6" t="s">
        <v>742</v>
      </c>
    </row>
    <row r="107" spans="1:50" x14ac:dyDescent="0.2">
      <c r="A107" s="3" t="s">
        <v>465</v>
      </c>
      <c r="B107" s="3" t="s">
        <v>57</v>
      </c>
      <c r="C107" s="3">
        <v>86552629</v>
      </c>
      <c r="D107" s="3" t="s">
        <v>71</v>
      </c>
      <c r="E107" s="3" t="s">
        <v>45</v>
      </c>
      <c r="F107" s="3" t="s">
        <v>59</v>
      </c>
      <c r="G107" s="3" t="s">
        <v>59</v>
      </c>
      <c r="H107" s="3" t="s">
        <v>255</v>
      </c>
      <c r="I107" s="3" t="s">
        <v>432</v>
      </c>
      <c r="J107" s="20" t="s">
        <v>466</v>
      </c>
      <c r="K107" s="3">
        <v>1.1437908496731999E-2</v>
      </c>
      <c r="L107" s="3">
        <v>306</v>
      </c>
      <c r="M107" s="3">
        <v>7.6762238791358204</v>
      </c>
      <c r="N107" s="3">
        <v>1.4674515431360399E-4</v>
      </c>
      <c r="O107" s="20" t="s">
        <v>467</v>
      </c>
      <c r="P107" s="3">
        <v>0</v>
      </c>
      <c r="Q107" s="3">
        <v>0</v>
      </c>
      <c r="R107" s="3">
        <v>0</v>
      </c>
      <c r="S107" s="3">
        <v>0</v>
      </c>
      <c r="T107" s="3">
        <v>293</v>
      </c>
      <c r="U107" s="3">
        <v>8</v>
      </c>
      <c r="V107" s="3">
        <v>0</v>
      </c>
      <c r="W107" s="3">
        <v>56</v>
      </c>
      <c r="X107" s="3">
        <v>0</v>
      </c>
      <c r="Y107" s="3">
        <v>0</v>
      </c>
      <c r="Z107" s="3">
        <v>0.15686274509803899</v>
      </c>
      <c r="AA107" s="3">
        <v>0.82072829131652703</v>
      </c>
      <c r="AB107" s="3">
        <v>2.2408963585434202E-2</v>
      </c>
      <c r="AC107" s="3">
        <v>0</v>
      </c>
      <c r="AD107" s="3">
        <v>0</v>
      </c>
      <c r="AE107" s="3">
        <v>0</v>
      </c>
      <c r="AF107" s="3">
        <v>0</v>
      </c>
      <c r="AG107" s="3">
        <v>0</v>
      </c>
      <c r="AH107" s="3">
        <v>0</v>
      </c>
      <c r="AI107" s="3">
        <v>0</v>
      </c>
      <c r="AJ107" s="3">
        <v>0</v>
      </c>
      <c r="AK107" s="3">
        <v>0.10084033613445401</v>
      </c>
      <c r="AL107" s="3">
        <v>0</v>
      </c>
      <c r="AM107" s="3">
        <v>0.89915966386554602</v>
      </c>
      <c r="AN107" s="3">
        <v>0.28571428571428598</v>
      </c>
      <c r="AO107" s="3">
        <v>1</v>
      </c>
      <c r="AP107" s="3">
        <v>0.84677419354838701</v>
      </c>
      <c r="AQ107" s="3"/>
      <c r="AR107" s="3"/>
      <c r="AS107" s="3"/>
      <c r="AT107" s="3"/>
      <c r="AU107" s="3"/>
      <c r="AV107" s="3"/>
      <c r="AW107" s="6"/>
      <c r="AX107" s="6"/>
    </row>
    <row r="108" spans="1:50" ht="56" x14ac:dyDescent="0.2">
      <c r="A108" s="3" t="s">
        <v>468</v>
      </c>
      <c r="B108" s="3" t="s">
        <v>120</v>
      </c>
      <c r="C108" s="3">
        <v>132350274</v>
      </c>
      <c r="D108" s="3" t="s">
        <v>260</v>
      </c>
      <c r="E108" s="3" t="s">
        <v>53</v>
      </c>
      <c r="F108" s="3" t="s">
        <v>59</v>
      </c>
      <c r="G108" s="3" t="s">
        <v>59</v>
      </c>
      <c r="H108" s="3" t="s">
        <v>255</v>
      </c>
      <c r="I108" s="3" t="s">
        <v>432</v>
      </c>
      <c r="J108" s="20" t="s">
        <v>469</v>
      </c>
      <c r="K108" s="3">
        <v>2.1241830065359499E-2</v>
      </c>
      <c r="L108" s="3">
        <v>306</v>
      </c>
      <c r="M108" s="3">
        <v>-1.71448384487631</v>
      </c>
      <c r="N108" s="20" t="s">
        <v>470</v>
      </c>
      <c r="O108" s="3">
        <v>0</v>
      </c>
      <c r="P108" s="3">
        <v>0</v>
      </c>
      <c r="Q108" s="3">
        <v>0</v>
      </c>
      <c r="R108" s="3">
        <v>213</v>
      </c>
      <c r="S108" s="3">
        <v>0</v>
      </c>
      <c r="T108" s="3">
        <v>0</v>
      </c>
      <c r="U108" s="3">
        <v>0</v>
      </c>
      <c r="V108" s="3">
        <v>0</v>
      </c>
      <c r="W108" s="3">
        <v>0</v>
      </c>
      <c r="X108" s="3">
        <v>144</v>
      </c>
      <c r="Y108" s="3">
        <v>0</v>
      </c>
      <c r="Z108" s="3">
        <v>0</v>
      </c>
      <c r="AA108" s="3">
        <v>0</v>
      </c>
      <c r="AB108" s="3">
        <v>0</v>
      </c>
      <c r="AC108" s="3">
        <v>0.40336134453781503</v>
      </c>
      <c r="AD108" s="3">
        <v>0.59663865546218497</v>
      </c>
      <c r="AE108" s="3">
        <v>0</v>
      </c>
      <c r="AF108" s="3">
        <v>0</v>
      </c>
      <c r="AG108" s="3">
        <v>0</v>
      </c>
      <c r="AH108" s="3">
        <v>0</v>
      </c>
      <c r="AI108" s="3">
        <v>0</v>
      </c>
      <c r="AJ108" s="3">
        <v>0.79831932773109204</v>
      </c>
      <c r="AK108" s="3">
        <v>0.20168067226890801</v>
      </c>
      <c r="AL108" s="3">
        <v>0</v>
      </c>
      <c r="AM108" s="3">
        <v>0</v>
      </c>
      <c r="AN108" s="3" t="s">
        <v>55</v>
      </c>
      <c r="AO108" s="3">
        <v>0.90243902439024404</v>
      </c>
      <c r="AP108" s="3">
        <v>0.83060109289617501</v>
      </c>
      <c r="AQ108" s="3" t="s">
        <v>758</v>
      </c>
      <c r="AR108" s="3" t="s">
        <v>759</v>
      </c>
      <c r="AS108" s="3" t="s">
        <v>913</v>
      </c>
      <c r="AT108" s="3"/>
      <c r="AU108" s="3"/>
      <c r="AV108" s="3"/>
      <c r="AW108" s="18" t="s">
        <v>760</v>
      </c>
      <c r="AX108" s="6" t="s">
        <v>761</v>
      </c>
    </row>
    <row r="109" spans="1:50" ht="84" x14ac:dyDescent="0.2">
      <c r="A109" s="3" t="s">
        <v>471</v>
      </c>
      <c r="B109" s="3" t="s">
        <v>120</v>
      </c>
      <c r="C109" s="3">
        <v>136045713</v>
      </c>
      <c r="D109" s="3" t="s">
        <v>71</v>
      </c>
      <c r="E109" s="3" t="s">
        <v>45</v>
      </c>
      <c r="F109" s="3" t="s">
        <v>59</v>
      </c>
      <c r="G109" s="3" t="s">
        <v>59</v>
      </c>
      <c r="H109" s="3" t="s">
        <v>255</v>
      </c>
      <c r="I109" s="3" t="s">
        <v>432</v>
      </c>
      <c r="J109" s="20" t="s">
        <v>472</v>
      </c>
      <c r="K109" s="3">
        <v>1.7973856209150402E-2</v>
      </c>
      <c r="L109" s="3">
        <v>306</v>
      </c>
      <c r="M109" s="3">
        <v>11.1118489763487</v>
      </c>
      <c r="N109" s="20" t="s">
        <v>473</v>
      </c>
      <c r="O109" s="20" t="s">
        <v>474</v>
      </c>
      <c r="P109" s="3">
        <v>0</v>
      </c>
      <c r="Q109" s="3">
        <v>0</v>
      </c>
      <c r="R109" s="3">
        <v>0</v>
      </c>
      <c r="S109" s="3">
        <v>0</v>
      </c>
      <c r="T109" s="3">
        <v>239</v>
      </c>
      <c r="U109" s="3">
        <v>26</v>
      </c>
      <c r="V109" s="3">
        <v>0</v>
      </c>
      <c r="W109" s="3">
        <v>92</v>
      </c>
      <c r="X109" s="3">
        <v>0</v>
      </c>
      <c r="Y109" s="3">
        <v>0</v>
      </c>
      <c r="Z109" s="3">
        <v>0.25770308123249303</v>
      </c>
      <c r="AA109" s="3">
        <v>0.669467787114846</v>
      </c>
      <c r="AB109" s="3">
        <v>7.2829131652661097E-2</v>
      </c>
      <c r="AC109" s="3">
        <v>0</v>
      </c>
      <c r="AD109" s="3">
        <v>0</v>
      </c>
      <c r="AE109" s="3">
        <v>0</v>
      </c>
      <c r="AF109" s="3">
        <v>0</v>
      </c>
      <c r="AG109" s="3">
        <v>0</v>
      </c>
      <c r="AH109" s="3">
        <v>0</v>
      </c>
      <c r="AI109" s="3">
        <v>0</v>
      </c>
      <c r="AJ109" s="3">
        <v>0</v>
      </c>
      <c r="AK109" s="3">
        <v>0.20168067226890801</v>
      </c>
      <c r="AL109" s="3">
        <v>0</v>
      </c>
      <c r="AM109" s="3">
        <v>0.79831932773109204</v>
      </c>
      <c r="AN109" s="3">
        <v>1.1052631578947401</v>
      </c>
      <c r="AO109" s="3">
        <v>1.04705882352941</v>
      </c>
      <c r="AP109" s="3">
        <v>0.75742574257425699</v>
      </c>
      <c r="AQ109" s="3" t="s">
        <v>762</v>
      </c>
      <c r="AR109" s="3" t="s">
        <v>763</v>
      </c>
      <c r="AS109" s="3" t="s">
        <v>764</v>
      </c>
      <c r="AT109" s="3" t="s">
        <v>636</v>
      </c>
      <c r="AU109" s="4">
        <v>1</v>
      </c>
      <c r="AV109" s="5">
        <v>0.995</v>
      </c>
      <c r="AW109" s="8" t="s">
        <v>765</v>
      </c>
      <c r="AX109" s="6" t="s">
        <v>923</v>
      </c>
    </row>
    <row r="110" spans="1:50" x14ac:dyDescent="0.2">
      <c r="A110" s="3" t="s">
        <v>475</v>
      </c>
      <c r="B110" s="3" t="s">
        <v>120</v>
      </c>
      <c r="C110" s="3">
        <v>372257862</v>
      </c>
      <c r="D110" s="3" t="s">
        <v>109</v>
      </c>
      <c r="E110" s="3" t="s">
        <v>59</v>
      </c>
      <c r="F110" s="3" t="s">
        <v>45</v>
      </c>
      <c r="G110" s="3" t="s">
        <v>45</v>
      </c>
      <c r="H110" s="3" t="s">
        <v>255</v>
      </c>
      <c r="I110" s="3" t="s">
        <v>432</v>
      </c>
      <c r="J110" s="20" t="s">
        <v>476</v>
      </c>
      <c r="K110" s="3">
        <v>3.26797385620914E-3</v>
      </c>
      <c r="L110" s="3">
        <v>306</v>
      </c>
      <c r="M110" s="3">
        <v>-4.94552483232391</v>
      </c>
      <c r="N110" s="20" t="s">
        <v>477</v>
      </c>
      <c r="O110" s="3">
        <v>3.6644918847047602E-4</v>
      </c>
      <c r="P110" s="3">
        <v>0</v>
      </c>
      <c r="Q110" s="3">
        <v>0</v>
      </c>
      <c r="R110" s="3">
        <v>0</v>
      </c>
      <c r="S110" s="3">
        <v>0</v>
      </c>
      <c r="T110" s="3">
        <v>0</v>
      </c>
      <c r="U110" s="3">
        <v>284</v>
      </c>
      <c r="V110" s="3">
        <v>0</v>
      </c>
      <c r="W110" s="3">
        <v>73</v>
      </c>
      <c r="X110" s="3">
        <v>0</v>
      </c>
      <c r="Y110" s="3">
        <v>0</v>
      </c>
      <c r="Z110" s="3">
        <v>0.204481792717087</v>
      </c>
      <c r="AA110" s="3">
        <v>0</v>
      </c>
      <c r="AB110" s="3">
        <v>0.795518207282913</v>
      </c>
      <c r="AC110" s="3">
        <v>0</v>
      </c>
      <c r="AD110" s="3">
        <v>0</v>
      </c>
      <c r="AE110" s="3">
        <v>0</v>
      </c>
      <c r="AF110" s="3">
        <v>0</v>
      </c>
      <c r="AG110" s="3">
        <v>0</v>
      </c>
      <c r="AH110" s="3">
        <v>0</v>
      </c>
      <c r="AI110" s="3">
        <v>0</v>
      </c>
      <c r="AJ110" s="3">
        <v>0</v>
      </c>
      <c r="AK110" s="3">
        <v>0.89775910364145695</v>
      </c>
      <c r="AL110" s="3">
        <v>0</v>
      </c>
      <c r="AM110" s="3">
        <v>0.102240896358543</v>
      </c>
      <c r="AN110" s="3" t="s">
        <v>55</v>
      </c>
      <c r="AO110" s="3">
        <v>1.5806451612903201</v>
      </c>
      <c r="AP110" s="3">
        <v>0.67622950819672101</v>
      </c>
      <c r="AQ110" s="3" t="s">
        <v>914</v>
      </c>
      <c r="AR110" s="3"/>
      <c r="AS110" s="3" t="s">
        <v>635</v>
      </c>
      <c r="AT110" s="3" t="s">
        <v>636</v>
      </c>
      <c r="AU110" s="4">
        <v>0.94</v>
      </c>
      <c r="AV110" s="5">
        <v>0.97370000000000001</v>
      </c>
      <c r="AW110" s="6"/>
      <c r="AX110" s="6"/>
    </row>
    <row r="111" spans="1:50" ht="126" x14ac:dyDescent="0.2">
      <c r="A111" s="3" t="s">
        <v>478</v>
      </c>
      <c r="B111" s="3" t="s">
        <v>152</v>
      </c>
      <c r="C111" s="3">
        <v>137924226</v>
      </c>
      <c r="D111" s="3" t="s">
        <v>71</v>
      </c>
      <c r="E111" s="3" t="s">
        <v>45</v>
      </c>
      <c r="F111" s="3" t="s">
        <v>59</v>
      </c>
      <c r="G111" s="3" t="s">
        <v>59</v>
      </c>
      <c r="H111" s="3" t="s">
        <v>255</v>
      </c>
      <c r="I111" s="3" t="s">
        <v>432</v>
      </c>
      <c r="J111" s="20" t="s">
        <v>479</v>
      </c>
      <c r="K111" s="3">
        <v>6.53594771241828E-3</v>
      </c>
      <c r="L111" s="3">
        <v>306</v>
      </c>
      <c r="M111" s="3">
        <v>-3.6110712584659201</v>
      </c>
      <c r="N111" s="3">
        <v>2.0681605107497901E-4</v>
      </c>
      <c r="O111" s="20" t="s">
        <v>480</v>
      </c>
      <c r="P111" s="3">
        <v>0</v>
      </c>
      <c r="Q111" s="3">
        <v>0</v>
      </c>
      <c r="R111" s="3">
        <v>0</v>
      </c>
      <c r="S111" s="3">
        <v>0</v>
      </c>
      <c r="T111" s="3">
        <v>109</v>
      </c>
      <c r="U111" s="3">
        <v>85</v>
      </c>
      <c r="V111" s="3">
        <v>0</v>
      </c>
      <c r="W111" s="3">
        <v>163</v>
      </c>
      <c r="X111" s="3">
        <v>0</v>
      </c>
      <c r="Y111" s="3">
        <v>0</v>
      </c>
      <c r="Z111" s="3">
        <v>0.456582633053221</v>
      </c>
      <c r="AA111" s="3">
        <v>0.30532212885154097</v>
      </c>
      <c r="AB111" s="3">
        <v>0.238095238095238</v>
      </c>
      <c r="AC111" s="3">
        <v>0</v>
      </c>
      <c r="AD111" s="3">
        <v>0</v>
      </c>
      <c r="AE111" s="3">
        <v>0</v>
      </c>
      <c r="AF111" s="3">
        <v>0</v>
      </c>
      <c r="AG111" s="3">
        <v>0</v>
      </c>
      <c r="AH111" s="3">
        <v>0</v>
      </c>
      <c r="AI111" s="3">
        <v>0</v>
      </c>
      <c r="AJ111" s="3">
        <v>0</v>
      </c>
      <c r="AK111" s="3">
        <v>0.46638655462184903</v>
      </c>
      <c r="AL111" s="3">
        <v>0</v>
      </c>
      <c r="AM111" s="3">
        <v>0.53361344537815103</v>
      </c>
      <c r="AN111" s="3">
        <v>1.23188405797101</v>
      </c>
      <c r="AO111" s="3">
        <v>0.52857142857142903</v>
      </c>
      <c r="AP111" s="3">
        <v>1.07216494845361</v>
      </c>
      <c r="AQ111" s="3" t="s">
        <v>766</v>
      </c>
      <c r="AR111" s="3" t="s">
        <v>767</v>
      </c>
      <c r="AS111" s="3" t="s">
        <v>768</v>
      </c>
      <c r="AT111" s="3" t="s">
        <v>636</v>
      </c>
      <c r="AU111" s="4">
        <v>1</v>
      </c>
      <c r="AV111" s="5">
        <v>0.95069999999999999</v>
      </c>
      <c r="AW111" s="8" t="s">
        <v>769</v>
      </c>
      <c r="AX111" s="6" t="s">
        <v>924</v>
      </c>
    </row>
    <row r="112" spans="1:50" x14ac:dyDescent="0.2">
      <c r="A112" s="3" t="s">
        <v>481</v>
      </c>
      <c r="B112" s="3" t="s">
        <v>224</v>
      </c>
      <c r="C112" s="3">
        <v>373045769</v>
      </c>
      <c r="D112" s="3" t="s">
        <v>58</v>
      </c>
      <c r="E112" s="3" t="s">
        <v>46</v>
      </c>
      <c r="F112" s="3" t="s">
        <v>59</v>
      </c>
      <c r="G112" s="3" t="s">
        <v>59</v>
      </c>
      <c r="H112" s="3" t="s">
        <v>255</v>
      </c>
      <c r="I112" s="3" t="s">
        <v>432</v>
      </c>
      <c r="J112" s="20" t="s">
        <v>482</v>
      </c>
      <c r="K112" s="3">
        <v>1.63398692810457E-3</v>
      </c>
      <c r="L112" s="3">
        <v>306</v>
      </c>
      <c r="M112" s="3">
        <v>-19.8380906240515</v>
      </c>
      <c r="N112" s="20" t="s">
        <v>483</v>
      </c>
      <c r="O112" s="3">
        <v>0</v>
      </c>
      <c r="P112" s="3">
        <v>325</v>
      </c>
      <c r="Q112" s="3">
        <v>0</v>
      </c>
      <c r="R112" s="3">
        <v>0</v>
      </c>
      <c r="S112" s="3">
        <v>0</v>
      </c>
      <c r="T112" s="3">
        <v>0</v>
      </c>
      <c r="U112" s="3">
        <v>1</v>
      </c>
      <c r="V112" s="3">
        <v>31</v>
      </c>
      <c r="W112" s="3">
        <v>0</v>
      </c>
      <c r="X112" s="3">
        <v>0</v>
      </c>
      <c r="Y112" s="3">
        <v>0</v>
      </c>
      <c r="Z112" s="3">
        <v>0</v>
      </c>
      <c r="AA112" s="3">
        <v>0</v>
      </c>
      <c r="AB112" s="3">
        <v>2.80112044817927E-3</v>
      </c>
      <c r="AC112" s="3">
        <v>0</v>
      </c>
      <c r="AD112" s="3">
        <v>0</v>
      </c>
      <c r="AE112" s="3">
        <v>0</v>
      </c>
      <c r="AF112" s="3">
        <v>0.91036414565826296</v>
      </c>
      <c r="AG112" s="3">
        <v>0</v>
      </c>
      <c r="AH112" s="3">
        <v>0</v>
      </c>
      <c r="AI112" s="3">
        <v>8.6834733893557406E-2</v>
      </c>
      <c r="AJ112" s="3">
        <v>0</v>
      </c>
      <c r="AK112" s="3">
        <v>4.6218487394957999E-2</v>
      </c>
      <c r="AL112" s="3">
        <v>0.95378151260504196</v>
      </c>
      <c r="AM112" s="3">
        <v>0</v>
      </c>
      <c r="AN112" s="3">
        <v>0</v>
      </c>
      <c r="AO112" s="3">
        <v>1.44444444444444</v>
      </c>
      <c r="AP112" s="3">
        <v>0.805755395683453</v>
      </c>
      <c r="AQ112" s="3"/>
      <c r="AR112" s="3"/>
      <c r="AS112" s="3"/>
      <c r="AT112" s="3"/>
      <c r="AU112" s="3"/>
      <c r="AV112" s="3"/>
      <c r="AW112" s="6"/>
      <c r="AX112" s="6"/>
    </row>
    <row r="113" spans="1:50" ht="42" x14ac:dyDescent="0.2">
      <c r="A113" s="3" t="s">
        <v>484</v>
      </c>
      <c r="B113" s="3" t="s">
        <v>100</v>
      </c>
      <c r="C113" s="3">
        <v>310863315</v>
      </c>
      <c r="D113" s="3" t="s">
        <v>260</v>
      </c>
      <c r="E113" s="3" t="s">
        <v>59</v>
      </c>
      <c r="F113" s="3" t="s">
        <v>53</v>
      </c>
      <c r="G113" s="3" t="s">
        <v>59</v>
      </c>
      <c r="H113" s="3" t="s">
        <v>255</v>
      </c>
      <c r="I113" s="3" t="s">
        <v>432</v>
      </c>
      <c r="J113" s="20" t="s">
        <v>485</v>
      </c>
      <c r="K113" s="3">
        <v>3.26797385620914E-3</v>
      </c>
      <c r="L113" s="3">
        <v>306</v>
      </c>
      <c r="M113" s="3">
        <v>-4.9770882873389004</v>
      </c>
      <c r="N113" s="20" t="s">
        <v>473</v>
      </c>
      <c r="O113" s="3">
        <v>2.3534658765490799E-4</v>
      </c>
      <c r="P113" s="3">
        <v>0</v>
      </c>
      <c r="Q113" s="3">
        <v>0</v>
      </c>
      <c r="R113" s="3">
        <v>223</v>
      </c>
      <c r="S113" s="3">
        <v>0</v>
      </c>
      <c r="T113" s="3">
        <v>0</v>
      </c>
      <c r="U113" s="3">
        <v>22</v>
      </c>
      <c r="V113" s="3">
        <v>0</v>
      </c>
      <c r="W113" s="3">
        <v>0</v>
      </c>
      <c r="X113" s="3">
        <v>112</v>
      </c>
      <c r="Y113" s="3">
        <v>0</v>
      </c>
      <c r="Z113" s="3">
        <v>0</v>
      </c>
      <c r="AA113" s="3">
        <v>0</v>
      </c>
      <c r="AB113" s="3">
        <v>6.1624649859944002E-2</v>
      </c>
      <c r="AC113" s="3">
        <v>0.31372549019607798</v>
      </c>
      <c r="AD113" s="3">
        <v>0.62464985994397804</v>
      </c>
      <c r="AE113" s="3">
        <v>0</v>
      </c>
      <c r="AF113" s="3">
        <v>0</v>
      </c>
      <c r="AG113" s="3">
        <v>0</v>
      </c>
      <c r="AH113" s="3">
        <v>0</v>
      </c>
      <c r="AI113" s="3">
        <v>0</v>
      </c>
      <c r="AJ113" s="3">
        <v>0.78151260504201703</v>
      </c>
      <c r="AK113" s="3">
        <v>0.218487394957983</v>
      </c>
      <c r="AL113" s="3">
        <v>0</v>
      </c>
      <c r="AM113" s="3">
        <v>0</v>
      </c>
      <c r="AN113" s="3">
        <v>0.66666666666666696</v>
      </c>
      <c r="AO113" s="3">
        <v>0.97872340425531901</v>
      </c>
      <c r="AP113" s="3">
        <v>0.81958762886597902</v>
      </c>
      <c r="AQ113" s="3" t="s">
        <v>770</v>
      </c>
      <c r="AR113" s="3" t="s">
        <v>771</v>
      </c>
      <c r="AS113" s="3" t="s">
        <v>913</v>
      </c>
      <c r="AT113" s="3"/>
      <c r="AU113" s="3"/>
      <c r="AV113" s="3"/>
      <c r="AW113" s="10" t="s">
        <v>772</v>
      </c>
      <c r="AX113" s="21" t="s">
        <v>773</v>
      </c>
    </row>
    <row r="114" spans="1:50" ht="98" x14ac:dyDescent="0.2">
      <c r="A114" s="3" t="s">
        <v>486</v>
      </c>
      <c r="B114" s="3" t="s">
        <v>105</v>
      </c>
      <c r="C114" s="3">
        <v>272394531</v>
      </c>
      <c r="D114" s="3" t="s">
        <v>71</v>
      </c>
      <c r="E114" s="3" t="s">
        <v>59</v>
      </c>
      <c r="F114" s="3" t="s">
        <v>45</v>
      </c>
      <c r="G114" s="3" t="s">
        <v>59</v>
      </c>
      <c r="H114" s="3" t="s">
        <v>255</v>
      </c>
      <c r="I114" s="3" t="s">
        <v>432</v>
      </c>
      <c r="J114" s="20" t="s">
        <v>487</v>
      </c>
      <c r="K114" s="3">
        <v>8.1699346405228503E-3</v>
      </c>
      <c r="L114" s="3">
        <v>306</v>
      </c>
      <c r="M114" s="3">
        <v>15.369248307384</v>
      </c>
      <c r="N114" s="3">
        <v>1.4674515431360399E-4</v>
      </c>
      <c r="O114" s="20" t="s">
        <v>488</v>
      </c>
      <c r="P114" s="3">
        <v>0</v>
      </c>
      <c r="Q114" s="3">
        <v>0</v>
      </c>
      <c r="R114" s="3">
        <v>0</v>
      </c>
      <c r="S114" s="3">
        <v>0</v>
      </c>
      <c r="T114" s="3">
        <v>207</v>
      </c>
      <c r="U114" s="3">
        <v>22</v>
      </c>
      <c r="V114" s="3">
        <v>0</v>
      </c>
      <c r="W114" s="3">
        <v>128</v>
      </c>
      <c r="X114" s="3">
        <v>0</v>
      </c>
      <c r="Y114" s="3">
        <v>0</v>
      </c>
      <c r="Z114" s="3">
        <v>0.358543417366947</v>
      </c>
      <c r="AA114" s="3">
        <v>0.57983193277310896</v>
      </c>
      <c r="AB114" s="3">
        <v>6.1624649859944002E-2</v>
      </c>
      <c r="AC114" s="3">
        <v>0</v>
      </c>
      <c r="AD114" s="3">
        <v>0</v>
      </c>
      <c r="AE114" s="3">
        <v>0</v>
      </c>
      <c r="AF114" s="3">
        <v>0</v>
      </c>
      <c r="AG114" s="3">
        <v>0</v>
      </c>
      <c r="AH114" s="3">
        <v>0</v>
      </c>
      <c r="AI114" s="3">
        <v>0</v>
      </c>
      <c r="AJ114" s="3">
        <v>0</v>
      </c>
      <c r="AK114" s="3">
        <v>0.24089635854341701</v>
      </c>
      <c r="AL114" s="3">
        <v>0</v>
      </c>
      <c r="AM114" s="3">
        <v>0.75910364145658304</v>
      </c>
      <c r="AN114" s="3">
        <v>3.1176470588235299</v>
      </c>
      <c r="AO114" s="3">
        <v>0.95495495495495497</v>
      </c>
      <c r="AP114" s="3">
        <v>0.58426966292134797</v>
      </c>
      <c r="AQ114" s="3" t="s">
        <v>774</v>
      </c>
      <c r="AR114" s="3" t="s">
        <v>775</v>
      </c>
      <c r="AS114" s="3" t="s">
        <v>776</v>
      </c>
      <c r="AT114" s="3" t="s">
        <v>636</v>
      </c>
      <c r="AU114" s="4">
        <v>1</v>
      </c>
      <c r="AV114" s="5">
        <v>0.97509999999999997</v>
      </c>
      <c r="AW114" s="10" t="s">
        <v>726</v>
      </c>
      <c r="AX114" s="6" t="s">
        <v>925</v>
      </c>
    </row>
    <row r="115" spans="1:50" x14ac:dyDescent="0.2">
      <c r="A115" s="3" t="s">
        <v>489</v>
      </c>
      <c r="B115" s="3" t="s">
        <v>105</v>
      </c>
      <c r="C115" s="3">
        <v>273159799</v>
      </c>
      <c r="D115" s="3" t="s">
        <v>71</v>
      </c>
      <c r="E115" s="3" t="s">
        <v>45</v>
      </c>
      <c r="F115" s="3" t="s">
        <v>59</v>
      </c>
      <c r="G115" s="3" t="s">
        <v>59</v>
      </c>
      <c r="H115" s="3" t="s">
        <v>255</v>
      </c>
      <c r="I115" s="3" t="s">
        <v>432</v>
      </c>
      <c r="J115" s="20" t="s">
        <v>490</v>
      </c>
      <c r="K115" s="3">
        <v>9.8039215686274196E-3</v>
      </c>
      <c r="L115" s="3">
        <v>306</v>
      </c>
      <c r="M115" s="3">
        <v>-1.3955084100663799</v>
      </c>
      <c r="N115" s="20" t="s">
        <v>491</v>
      </c>
      <c r="O115" s="3">
        <v>0</v>
      </c>
      <c r="P115" s="3">
        <v>0</v>
      </c>
      <c r="Q115" s="3">
        <v>0</v>
      </c>
      <c r="R115" s="3">
        <v>0</v>
      </c>
      <c r="S115" s="3">
        <v>0</v>
      </c>
      <c r="T115" s="3">
        <v>353</v>
      </c>
      <c r="U115" s="3">
        <v>0</v>
      </c>
      <c r="V115" s="3">
        <v>0</v>
      </c>
      <c r="W115" s="3">
        <v>4</v>
      </c>
      <c r="X115" s="3">
        <v>0</v>
      </c>
      <c r="Y115" s="3">
        <v>0</v>
      </c>
      <c r="Z115" s="3">
        <v>1.1204481792717101E-2</v>
      </c>
      <c r="AA115" s="3">
        <v>0.98879551820728295</v>
      </c>
      <c r="AB115" s="3">
        <v>0</v>
      </c>
      <c r="AC115" s="3">
        <v>0</v>
      </c>
      <c r="AD115" s="3">
        <v>0</v>
      </c>
      <c r="AE115" s="3">
        <v>0</v>
      </c>
      <c r="AF115" s="3">
        <v>0</v>
      </c>
      <c r="AG115" s="3">
        <v>0</v>
      </c>
      <c r="AH115" s="3">
        <v>0</v>
      </c>
      <c r="AI115" s="3">
        <v>0</v>
      </c>
      <c r="AJ115" s="3">
        <v>0</v>
      </c>
      <c r="AK115" s="3">
        <v>5.60224089635854E-3</v>
      </c>
      <c r="AL115" s="3">
        <v>0</v>
      </c>
      <c r="AM115" s="3">
        <v>0.99439775910364103</v>
      </c>
      <c r="AN115" s="3" t="s">
        <v>55</v>
      </c>
      <c r="AO115" s="3">
        <v>0.5</v>
      </c>
      <c r="AP115" s="3">
        <v>0.86423841059602602</v>
      </c>
      <c r="AQ115" s="3"/>
      <c r="AR115" s="3"/>
      <c r="AS115" s="3"/>
      <c r="AT115" s="3"/>
      <c r="AU115" s="3"/>
      <c r="AV115" s="3"/>
      <c r="AW115" s="6"/>
      <c r="AX115" s="6"/>
    </row>
    <row r="116" spans="1:50" ht="126" x14ac:dyDescent="0.2">
      <c r="A116" s="3" t="s">
        <v>492</v>
      </c>
      <c r="B116" s="3" t="s">
        <v>105</v>
      </c>
      <c r="C116" s="3">
        <v>273449073</v>
      </c>
      <c r="D116" s="3" t="s">
        <v>156</v>
      </c>
      <c r="E116" s="3" t="s">
        <v>53</v>
      </c>
      <c r="F116" s="3" t="s">
        <v>59</v>
      </c>
      <c r="G116" s="3" t="s">
        <v>53</v>
      </c>
      <c r="H116" s="3" t="s">
        <v>255</v>
      </c>
      <c r="I116" s="3" t="s">
        <v>432</v>
      </c>
      <c r="J116" s="20" t="s">
        <v>493</v>
      </c>
      <c r="K116" s="3">
        <v>6.53594771241828E-3</v>
      </c>
      <c r="L116" s="3">
        <v>306</v>
      </c>
      <c r="M116" s="3">
        <v>7.6846240947191999</v>
      </c>
      <c r="N116" s="3">
        <v>1.4674515431360399E-4</v>
      </c>
      <c r="O116" s="3">
        <v>0</v>
      </c>
      <c r="P116" s="3">
        <v>0</v>
      </c>
      <c r="Q116" s="3">
        <v>0</v>
      </c>
      <c r="R116" s="3">
        <v>0</v>
      </c>
      <c r="S116" s="3">
        <v>0</v>
      </c>
      <c r="T116" s="3">
        <v>0</v>
      </c>
      <c r="U116" s="3">
        <v>354</v>
      </c>
      <c r="V116" s="3">
        <v>0</v>
      </c>
      <c r="W116" s="3">
        <v>0</v>
      </c>
      <c r="X116" s="3">
        <v>3</v>
      </c>
      <c r="Y116" s="3">
        <v>0</v>
      </c>
      <c r="Z116" s="3">
        <v>0</v>
      </c>
      <c r="AA116" s="3">
        <v>0</v>
      </c>
      <c r="AB116" s="3">
        <v>0.99159663865546199</v>
      </c>
      <c r="AC116" s="3">
        <v>8.4033613445378096E-3</v>
      </c>
      <c r="AD116" s="3">
        <v>0</v>
      </c>
      <c r="AE116" s="3">
        <v>0</v>
      </c>
      <c r="AF116" s="3">
        <v>0</v>
      </c>
      <c r="AG116" s="3">
        <v>0</v>
      </c>
      <c r="AH116" s="3">
        <v>0</v>
      </c>
      <c r="AI116" s="3">
        <v>0</v>
      </c>
      <c r="AJ116" s="3">
        <v>4.20168067226891E-3</v>
      </c>
      <c r="AK116" s="3">
        <v>0.995798319327731</v>
      </c>
      <c r="AL116" s="3">
        <v>0</v>
      </c>
      <c r="AM116" s="3">
        <v>0</v>
      </c>
      <c r="AN116" s="3" t="s">
        <v>55</v>
      </c>
      <c r="AO116" s="3">
        <v>2.5</v>
      </c>
      <c r="AP116" s="3">
        <v>0.84868421052631604</v>
      </c>
      <c r="AQ116" s="3" t="s">
        <v>914</v>
      </c>
      <c r="AR116" s="3"/>
      <c r="AS116" s="3" t="s">
        <v>777</v>
      </c>
      <c r="AT116" s="3" t="s">
        <v>778</v>
      </c>
      <c r="AU116" s="4">
        <v>1</v>
      </c>
      <c r="AV116" s="5">
        <v>0.93030000000000002</v>
      </c>
      <c r="AW116" s="19" t="s">
        <v>779</v>
      </c>
      <c r="AX116" s="6" t="s">
        <v>926</v>
      </c>
    </row>
    <row r="117" spans="1:50" ht="56" x14ac:dyDescent="0.2">
      <c r="A117" s="3" t="s">
        <v>494</v>
      </c>
      <c r="B117" s="3" t="s">
        <v>70</v>
      </c>
      <c r="C117" s="3">
        <v>352707146</v>
      </c>
      <c r="D117" s="3" t="s">
        <v>58</v>
      </c>
      <c r="E117" s="3" t="s">
        <v>46</v>
      </c>
      <c r="F117" s="3" t="s">
        <v>59</v>
      </c>
      <c r="G117" s="3" t="s">
        <v>59</v>
      </c>
      <c r="H117" s="3" t="s">
        <v>255</v>
      </c>
      <c r="I117" s="3" t="s">
        <v>432</v>
      </c>
      <c r="J117" s="20" t="s">
        <v>495</v>
      </c>
      <c r="K117" s="3">
        <v>6.53594771241828E-3</v>
      </c>
      <c r="L117" s="3">
        <v>306</v>
      </c>
      <c r="M117" s="3">
        <v>-2.68947027096723</v>
      </c>
      <c r="N117" s="3">
        <v>1.4674515431360399E-4</v>
      </c>
      <c r="O117" s="3">
        <v>0.10455246849031501</v>
      </c>
      <c r="P117" s="3">
        <v>141</v>
      </c>
      <c r="Q117" s="3">
        <v>0</v>
      </c>
      <c r="R117" s="3">
        <v>0</v>
      </c>
      <c r="S117" s="3">
        <v>0</v>
      </c>
      <c r="T117" s="3">
        <v>0</v>
      </c>
      <c r="U117" s="3">
        <v>52</v>
      </c>
      <c r="V117" s="3">
        <v>164</v>
      </c>
      <c r="W117" s="3">
        <v>0</v>
      </c>
      <c r="X117" s="3">
        <v>0</v>
      </c>
      <c r="Y117" s="3">
        <v>0</v>
      </c>
      <c r="Z117" s="3">
        <v>0</v>
      </c>
      <c r="AA117" s="3">
        <v>0</v>
      </c>
      <c r="AB117" s="3">
        <v>0.145658263305322</v>
      </c>
      <c r="AC117" s="3">
        <v>0</v>
      </c>
      <c r="AD117" s="3">
        <v>0</v>
      </c>
      <c r="AE117" s="3">
        <v>0</v>
      </c>
      <c r="AF117" s="3">
        <v>0.39495798319327702</v>
      </c>
      <c r="AG117" s="3">
        <v>0</v>
      </c>
      <c r="AH117" s="3">
        <v>0</v>
      </c>
      <c r="AI117" s="3">
        <v>0.45938375350140098</v>
      </c>
      <c r="AJ117" s="3">
        <v>0</v>
      </c>
      <c r="AK117" s="3">
        <v>0.37535014005602202</v>
      </c>
      <c r="AL117" s="3">
        <v>0.62464985994397804</v>
      </c>
      <c r="AM117" s="3">
        <v>0</v>
      </c>
      <c r="AN117" s="3">
        <v>0.29166666666666702</v>
      </c>
      <c r="AO117" s="3">
        <v>1.0281690140845099</v>
      </c>
      <c r="AP117" s="3">
        <v>0.88793103448275901</v>
      </c>
      <c r="AQ117" s="3" t="s">
        <v>780</v>
      </c>
      <c r="AR117" s="3" t="s">
        <v>781</v>
      </c>
      <c r="AS117" s="3" t="s">
        <v>913</v>
      </c>
      <c r="AT117" s="3"/>
      <c r="AU117" s="3"/>
      <c r="AV117" s="3"/>
      <c r="AW117" s="14" t="s">
        <v>782</v>
      </c>
      <c r="AX117" s="21" t="s">
        <v>783</v>
      </c>
    </row>
    <row r="118" spans="1:50" x14ac:dyDescent="0.2">
      <c r="A118" s="3" t="s">
        <v>496</v>
      </c>
      <c r="B118" s="3" t="s">
        <v>70</v>
      </c>
      <c r="C118" s="3">
        <v>352709134</v>
      </c>
      <c r="D118" s="3" t="s">
        <v>52</v>
      </c>
      <c r="E118" s="3" t="s">
        <v>46</v>
      </c>
      <c r="F118" s="3" t="s">
        <v>53</v>
      </c>
      <c r="G118" s="3" t="s">
        <v>53</v>
      </c>
      <c r="H118" s="3" t="s">
        <v>255</v>
      </c>
      <c r="I118" s="3" t="s">
        <v>432</v>
      </c>
      <c r="J118" s="20" t="s">
        <v>497</v>
      </c>
      <c r="K118" s="3">
        <v>8.1699346405228503E-3</v>
      </c>
      <c r="L118" s="3">
        <v>306</v>
      </c>
      <c r="M118" s="3">
        <v>0.20448744459600801</v>
      </c>
      <c r="N118" s="3">
        <v>1.4674515431360399E-4</v>
      </c>
      <c r="O118" s="3">
        <v>0</v>
      </c>
      <c r="P118" s="3">
        <v>291</v>
      </c>
      <c r="Q118" s="3">
        <v>48</v>
      </c>
      <c r="R118" s="3">
        <v>18</v>
      </c>
      <c r="S118" s="3">
        <v>0</v>
      </c>
      <c r="T118" s="3">
        <v>0</v>
      </c>
      <c r="U118" s="3">
        <v>0</v>
      </c>
      <c r="V118" s="3">
        <v>0</v>
      </c>
      <c r="W118" s="3">
        <v>0</v>
      </c>
      <c r="X118" s="3">
        <v>0</v>
      </c>
      <c r="Y118" s="3">
        <v>0</v>
      </c>
      <c r="Z118" s="3">
        <v>0</v>
      </c>
      <c r="AA118" s="3">
        <v>0</v>
      </c>
      <c r="AB118" s="3">
        <v>0</v>
      </c>
      <c r="AC118" s="3">
        <v>0</v>
      </c>
      <c r="AD118" s="3">
        <v>5.0420168067226899E-2</v>
      </c>
      <c r="AE118" s="3">
        <v>0.13445378151260501</v>
      </c>
      <c r="AF118" s="3">
        <v>0.81512605042016795</v>
      </c>
      <c r="AG118" s="3">
        <v>0</v>
      </c>
      <c r="AH118" s="3">
        <v>0</v>
      </c>
      <c r="AI118" s="3">
        <v>0</v>
      </c>
      <c r="AJ118" s="3">
        <v>0.11764705882352899</v>
      </c>
      <c r="AK118" s="3">
        <v>0</v>
      </c>
      <c r="AL118" s="3">
        <v>0.88235294117647001</v>
      </c>
      <c r="AM118" s="3">
        <v>0</v>
      </c>
      <c r="AN118" s="3">
        <v>0.29411764705882398</v>
      </c>
      <c r="AO118" s="3">
        <v>0.73809523809523803</v>
      </c>
      <c r="AP118" s="3">
        <v>0.91902834008097201</v>
      </c>
      <c r="AQ118" s="3" t="s">
        <v>936</v>
      </c>
      <c r="AR118" s="3" t="s">
        <v>937</v>
      </c>
      <c r="AS118" s="3" t="s">
        <v>938</v>
      </c>
      <c r="AT118" s="3" t="s">
        <v>939</v>
      </c>
      <c r="AU118" s="4">
        <v>1</v>
      </c>
      <c r="AV118" s="5">
        <v>0.96020000000000005</v>
      </c>
      <c r="AW118" s="6" t="s">
        <v>940</v>
      </c>
      <c r="AX118" s="6"/>
    </row>
    <row r="119" spans="1:50" x14ac:dyDescent="0.2">
      <c r="A119" s="3" t="s">
        <v>498</v>
      </c>
      <c r="B119" s="3" t="s">
        <v>74</v>
      </c>
      <c r="C119" s="3">
        <v>171715235</v>
      </c>
      <c r="D119" s="3" t="s">
        <v>71</v>
      </c>
      <c r="E119" s="3" t="s">
        <v>59</v>
      </c>
      <c r="F119" s="3" t="s">
        <v>45</v>
      </c>
      <c r="G119" s="3" t="s">
        <v>59</v>
      </c>
      <c r="H119" s="3" t="s">
        <v>255</v>
      </c>
      <c r="I119" s="3" t="s">
        <v>432</v>
      </c>
      <c r="J119" s="20" t="s">
        <v>499</v>
      </c>
      <c r="K119" s="3">
        <v>1.63398692810457E-3</v>
      </c>
      <c r="L119" s="3">
        <v>306</v>
      </c>
      <c r="M119" s="3">
        <v>-19.384686394261799</v>
      </c>
      <c r="N119" s="20" t="s">
        <v>500</v>
      </c>
      <c r="O119" s="3">
        <v>1.06765946359377E-4</v>
      </c>
      <c r="P119" s="3">
        <v>0</v>
      </c>
      <c r="Q119" s="3">
        <v>0</v>
      </c>
      <c r="R119" s="3">
        <v>0</v>
      </c>
      <c r="S119" s="3">
        <v>0</v>
      </c>
      <c r="T119" s="3">
        <v>220</v>
      </c>
      <c r="U119" s="3">
        <v>50</v>
      </c>
      <c r="V119" s="3">
        <v>0</v>
      </c>
      <c r="W119" s="3">
        <v>87</v>
      </c>
      <c r="X119" s="3">
        <v>0</v>
      </c>
      <c r="Y119" s="3">
        <v>0</v>
      </c>
      <c r="Z119" s="3">
        <v>0.24369747899159699</v>
      </c>
      <c r="AA119" s="3">
        <v>0.61624649859944003</v>
      </c>
      <c r="AB119" s="3">
        <v>0.140056022408964</v>
      </c>
      <c r="AC119" s="3">
        <v>0</v>
      </c>
      <c r="AD119" s="3">
        <v>0</v>
      </c>
      <c r="AE119" s="3">
        <v>0</v>
      </c>
      <c r="AF119" s="3">
        <v>0</v>
      </c>
      <c r="AG119" s="3">
        <v>0</v>
      </c>
      <c r="AH119" s="3">
        <v>0</v>
      </c>
      <c r="AI119" s="3">
        <v>0</v>
      </c>
      <c r="AJ119" s="3">
        <v>0</v>
      </c>
      <c r="AK119" s="3">
        <v>0.26190476190476197</v>
      </c>
      <c r="AL119" s="3">
        <v>0</v>
      </c>
      <c r="AM119" s="3">
        <v>0.73809523809523803</v>
      </c>
      <c r="AN119" s="3">
        <v>1.3404255319148899</v>
      </c>
      <c r="AO119" s="3">
        <v>1.12676056338028</v>
      </c>
      <c r="AP119" s="3">
        <v>0.63829787234042601</v>
      </c>
      <c r="AQ119" s="3"/>
      <c r="AR119" s="3"/>
      <c r="AS119" s="3"/>
      <c r="AT119" s="3"/>
      <c r="AU119" s="3"/>
      <c r="AV119" s="3"/>
      <c r="AW119" s="6"/>
      <c r="AX119" s="6"/>
    </row>
    <row r="120" spans="1:50" x14ac:dyDescent="0.2">
      <c r="A120" s="3" t="s">
        <v>501</v>
      </c>
      <c r="B120" s="3" t="s">
        <v>81</v>
      </c>
      <c r="C120" s="3">
        <v>112867423</v>
      </c>
      <c r="D120" s="3" t="s">
        <v>44</v>
      </c>
      <c r="E120" s="3" t="s">
        <v>45</v>
      </c>
      <c r="F120" s="3" t="s">
        <v>46</v>
      </c>
      <c r="G120" s="3" t="s">
        <v>46</v>
      </c>
      <c r="H120" s="3" t="s">
        <v>255</v>
      </c>
      <c r="I120" s="3" t="s">
        <v>432</v>
      </c>
      <c r="J120" s="20" t="s">
        <v>502</v>
      </c>
      <c r="K120" s="3">
        <v>1.63398692810457E-3</v>
      </c>
      <c r="L120" s="3">
        <v>306</v>
      </c>
      <c r="M120" s="3">
        <v>-22.396640930894399</v>
      </c>
      <c r="N120" s="20" t="s">
        <v>503</v>
      </c>
      <c r="O120" s="20" t="s">
        <v>504</v>
      </c>
      <c r="P120" s="3">
        <v>77</v>
      </c>
      <c r="Q120" s="3">
        <v>0</v>
      </c>
      <c r="R120" s="3">
        <v>0</v>
      </c>
      <c r="S120" s="3">
        <v>119</v>
      </c>
      <c r="T120" s="3">
        <v>161</v>
      </c>
      <c r="U120" s="3">
        <v>0</v>
      </c>
      <c r="V120" s="3">
        <v>0</v>
      </c>
      <c r="W120" s="3">
        <v>0</v>
      </c>
      <c r="X120" s="3">
        <v>0</v>
      </c>
      <c r="Y120" s="3">
        <v>0</v>
      </c>
      <c r="Z120" s="3">
        <v>0</v>
      </c>
      <c r="AA120" s="3">
        <v>0.45098039215686297</v>
      </c>
      <c r="AB120" s="3">
        <v>0</v>
      </c>
      <c r="AC120" s="3">
        <v>0</v>
      </c>
      <c r="AD120" s="3">
        <v>0</v>
      </c>
      <c r="AE120" s="3">
        <v>0</v>
      </c>
      <c r="AF120" s="3">
        <v>0.21568627450980399</v>
      </c>
      <c r="AG120" s="3">
        <v>0.33333333333333298</v>
      </c>
      <c r="AH120" s="3">
        <v>0</v>
      </c>
      <c r="AI120" s="3">
        <v>0</v>
      </c>
      <c r="AJ120" s="3">
        <v>0</v>
      </c>
      <c r="AK120" s="3">
        <v>0</v>
      </c>
      <c r="AL120" s="3">
        <v>0.38235294117647101</v>
      </c>
      <c r="AM120" s="3">
        <v>0.61764705882352999</v>
      </c>
      <c r="AN120" s="3">
        <v>0.609375</v>
      </c>
      <c r="AO120" s="3">
        <v>1</v>
      </c>
      <c r="AP120" s="3">
        <v>0.87323943661971803</v>
      </c>
      <c r="AQ120" s="3"/>
      <c r="AR120" s="3"/>
      <c r="AS120" s="3"/>
      <c r="AT120" s="3"/>
      <c r="AU120" s="3"/>
      <c r="AV120" s="3"/>
      <c r="AW120" s="6"/>
      <c r="AX120" s="6"/>
    </row>
    <row r="121" spans="1:50" x14ac:dyDescent="0.2">
      <c r="A121" s="3" t="s">
        <v>505</v>
      </c>
      <c r="B121" s="3" t="s">
        <v>113</v>
      </c>
      <c r="C121" s="3">
        <v>13367865</v>
      </c>
      <c r="D121" s="3" t="s">
        <v>58</v>
      </c>
      <c r="E121" s="3" t="s">
        <v>59</v>
      </c>
      <c r="F121" s="3" t="s">
        <v>46</v>
      </c>
      <c r="G121" s="3" t="s">
        <v>59</v>
      </c>
      <c r="H121" s="3" t="s">
        <v>255</v>
      </c>
      <c r="I121" s="3" t="s">
        <v>432</v>
      </c>
      <c r="J121" s="20" t="s">
        <v>506</v>
      </c>
      <c r="K121" s="3">
        <v>1.47058823529411E-2</v>
      </c>
      <c r="L121" s="3">
        <v>306</v>
      </c>
      <c r="M121" s="3">
        <v>-2.16117554081994</v>
      </c>
      <c r="N121" s="3">
        <v>3.4035538533352602E-4</v>
      </c>
      <c r="O121" s="3">
        <v>0</v>
      </c>
      <c r="P121" s="3">
        <v>247</v>
      </c>
      <c r="Q121" s="3">
        <v>0</v>
      </c>
      <c r="R121" s="3">
        <v>0</v>
      </c>
      <c r="S121" s="3">
        <v>0</v>
      </c>
      <c r="T121" s="3">
        <v>0</v>
      </c>
      <c r="U121" s="3">
        <v>19</v>
      </c>
      <c r="V121" s="3">
        <v>91</v>
      </c>
      <c r="W121" s="3">
        <v>0</v>
      </c>
      <c r="X121" s="3">
        <v>0</v>
      </c>
      <c r="Y121" s="3">
        <v>0</v>
      </c>
      <c r="Z121" s="3">
        <v>0</v>
      </c>
      <c r="AA121" s="3">
        <v>0</v>
      </c>
      <c r="AB121" s="3">
        <v>5.3221288515406202E-2</v>
      </c>
      <c r="AC121" s="3">
        <v>0</v>
      </c>
      <c r="AD121" s="3">
        <v>0</v>
      </c>
      <c r="AE121" s="3">
        <v>0</v>
      </c>
      <c r="AF121" s="3">
        <v>0.69187675070027999</v>
      </c>
      <c r="AG121" s="3">
        <v>0</v>
      </c>
      <c r="AH121" s="3">
        <v>0</v>
      </c>
      <c r="AI121" s="3">
        <v>0.25490196078431399</v>
      </c>
      <c r="AJ121" s="3">
        <v>0</v>
      </c>
      <c r="AK121" s="3">
        <v>0.18067226890756299</v>
      </c>
      <c r="AL121" s="3">
        <v>0.81932773109243695</v>
      </c>
      <c r="AM121" s="3">
        <v>0</v>
      </c>
      <c r="AN121" s="3">
        <v>1.6666666666666701</v>
      </c>
      <c r="AO121" s="3">
        <v>0.506329113924051</v>
      </c>
      <c r="AP121" s="3">
        <v>0.93396226415094297</v>
      </c>
      <c r="AQ121" s="3"/>
      <c r="AR121" s="3"/>
      <c r="AS121" s="3"/>
      <c r="AT121" s="3"/>
      <c r="AU121" s="3"/>
      <c r="AV121" s="3"/>
      <c r="AW121" s="6"/>
      <c r="AX121" s="6"/>
    </row>
    <row r="122" spans="1:50" x14ac:dyDescent="0.2">
      <c r="A122" s="3" t="s">
        <v>507</v>
      </c>
      <c r="B122" s="3" t="s">
        <v>113</v>
      </c>
      <c r="C122" s="3">
        <v>30709054</v>
      </c>
      <c r="D122" s="3" t="s">
        <v>260</v>
      </c>
      <c r="E122" s="3" t="s">
        <v>53</v>
      </c>
      <c r="F122" s="3" t="s">
        <v>59</v>
      </c>
      <c r="G122" s="3" t="s">
        <v>59</v>
      </c>
      <c r="H122" s="3" t="s">
        <v>255</v>
      </c>
      <c r="I122" s="3" t="s">
        <v>432</v>
      </c>
      <c r="J122" s="20" t="s">
        <v>508</v>
      </c>
      <c r="K122" s="3">
        <v>8.8235294117647106E-2</v>
      </c>
      <c r="L122" s="3">
        <v>306</v>
      </c>
      <c r="M122" s="3">
        <v>-0.77804811200345103</v>
      </c>
      <c r="N122" s="3">
        <v>1.74433661110375E-3</v>
      </c>
      <c r="O122" s="20" t="s">
        <v>509</v>
      </c>
      <c r="P122" s="3">
        <v>0</v>
      </c>
      <c r="Q122" s="3">
        <v>0</v>
      </c>
      <c r="R122" s="3">
        <v>312</v>
      </c>
      <c r="S122" s="3">
        <v>0</v>
      </c>
      <c r="T122" s="3">
        <v>0</v>
      </c>
      <c r="U122" s="3">
        <v>6</v>
      </c>
      <c r="V122" s="3">
        <v>0</v>
      </c>
      <c r="W122" s="3">
        <v>0</v>
      </c>
      <c r="X122" s="3">
        <v>39</v>
      </c>
      <c r="Y122" s="3">
        <v>0</v>
      </c>
      <c r="Z122" s="3">
        <v>0</v>
      </c>
      <c r="AA122" s="3">
        <v>0</v>
      </c>
      <c r="AB122" s="3">
        <v>1.6806722689075598E-2</v>
      </c>
      <c r="AC122" s="3">
        <v>0.109243697478992</v>
      </c>
      <c r="AD122" s="3">
        <v>0.873949579831933</v>
      </c>
      <c r="AE122" s="3">
        <v>0</v>
      </c>
      <c r="AF122" s="3">
        <v>0</v>
      </c>
      <c r="AG122" s="3">
        <v>0</v>
      </c>
      <c r="AH122" s="3">
        <v>0</v>
      </c>
      <c r="AI122" s="3">
        <v>0</v>
      </c>
      <c r="AJ122" s="3">
        <v>0.92857142857142905</v>
      </c>
      <c r="AK122" s="3">
        <v>7.1428571428571397E-2</v>
      </c>
      <c r="AL122" s="3">
        <v>0</v>
      </c>
      <c r="AM122" s="3">
        <v>0</v>
      </c>
      <c r="AN122" s="3">
        <v>2.5</v>
      </c>
      <c r="AO122" s="3">
        <v>0.8</v>
      </c>
      <c r="AP122" s="3">
        <v>0.82962962962963005</v>
      </c>
      <c r="AQ122" s="3"/>
      <c r="AR122" s="3"/>
      <c r="AS122" s="3"/>
      <c r="AT122" s="3"/>
      <c r="AU122" s="3"/>
      <c r="AV122" s="3"/>
      <c r="AW122" s="6"/>
      <c r="AX122" s="6"/>
    </row>
    <row r="123" spans="1:50" x14ac:dyDescent="0.2">
      <c r="A123" s="3" t="s">
        <v>116</v>
      </c>
      <c r="B123" s="3" t="s">
        <v>90</v>
      </c>
      <c r="C123" s="3">
        <v>627219003</v>
      </c>
      <c r="D123" s="3" t="s">
        <v>67</v>
      </c>
      <c r="E123" s="3" t="s">
        <v>46</v>
      </c>
      <c r="F123" s="3" t="s">
        <v>53</v>
      </c>
      <c r="G123" s="3" t="s">
        <v>46</v>
      </c>
      <c r="H123" s="3" t="s">
        <v>117</v>
      </c>
      <c r="I123" s="3" t="s">
        <v>48</v>
      </c>
      <c r="J123" s="20" t="s">
        <v>118</v>
      </c>
      <c r="K123" s="3">
        <v>4.77326968973746E-3</v>
      </c>
      <c r="L123" s="3">
        <v>419</v>
      </c>
      <c r="M123" s="3">
        <v>-0.46602014895831501</v>
      </c>
      <c r="N123" s="3">
        <v>1.40211565274722E-4</v>
      </c>
      <c r="O123" s="3">
        <v>82.630228062316704</v>
      </c>
      <c r="P123" s="3">
        <v>0</v>
      </c>
      <c r="Q123" s="3">
        <v>81</v>
      </c>
      <c r="R123" s="3">
        <v>348</v>
      </c>
      <c r="S123" s="3">
        <v>0</v>
      </c>
      <c r="T123" s="3">
        <v>0</v>
      </c>
      <c r="U123" s="3">
        <v>0</v>
      </c>
      <c r="V123" s="3">
        <v>0</v>
      </c>
      <c r="W123" s="3">
        <v>0</v>
      </c>
      <c r="X123" s="3">
        <v>0</v>
      </c>
      <c r="Y123" s="3">
        <v>0</v>
      </c>
      <c r="Z123" s="3">
        <v>0</v>
      </c>
      <c r="AA123" s="3">
        <v>0</v>
      </c>
      <c r="AB123" s="3">
        <v>0</v>
      </c>
      <c r="AC123" s="3">
        <v>0</v>
      </c>
      <c r="AD123" s="3">
        <v>0.81118881118881103</v>
      </c>
      <c r="AE123" s="3">
        <v>0.188811188811189</v>
      </c>
      <c r="AF123" s="3">
        <v>0</v>
      </c>
      <c r="AG123" s="3">
        <v>0</v>
      </c>
      <c r="AH123" s="3">
        <v>0</v>
      </c>
      <c r="AI123" s="3">
        <v>0</v>
      </c>
      <c r="AJ123" s="3">
        <v>0.90559440559440596</v>
      </c>
      <c r="AK123" s="3">
        <v>0</v>
      </c>
      <c r="AL123" s="3">
        <v>9.4405594405594401E-2</v>
      </c>
      <c r="AM123" s="3">
        <v>0</v>
      </c>
      <c r="AN123" s="3" t="s">
        <v>55</v>
      </c>
      <c r="AO123" s="3">
        <v>0.19620253164557</v>
      </c>
      <c r="AP123" s="3">
        <v>0.121470588235294</v>
      </c>
      <c r="AQ123" s="3" t="s">
        <v>914</v>
      </c>
      <c r="AR123" s="3"/>
      <c r="AS123" s="3" t="s">
        <v>635</v>
      </c>
      <c r="AT123" s="3" t="s">
        <v>636</v>
      </c>
      <c r="AU123" s="4">
        <v>1</v>
      </c>
      <c r="AV123" s="5">
        <v>0.92649999999999999</v>
      </c>
      <c r="AW123" s="6"/>
      <c r="AX123" s="6"/>
    </row>
    <row r="124" spans="1:50" ht="84" x14ac:dyDescent="0.2">
      <c r="A124" s="3" t="s">
        <v>119</v>
      </c>
      <c r="B124" s="3" t="s">
        <v>120</v>
      </c>
      <c r="C124" s="3">
        <v>468911509</v>
      </c>
      <c r="D124" s="3" t="s">
        <v>44</v>
      </c>
      <c r="E124" s="3" t="s">
        <v>45</v>
      </c>
      <c r="F124" s="3" t="s">
        <v>46</v>
      </c>
      <c r="G124" s="3" t="s">
        <v>46</v>
      </c>
      <c r="H124" s="3" t="s">
        <v>117</v>
      </c>
      <c r="I124" s="3" t="s">
        <v>48</v>
      </c>
      <c r="J124" s="20" t="s">
        <v>121</v>
      </c>
      <c r="K124" s="3">
        <v>8.1145584725536998E-2</v>
      </c>
      <c r="L124" s="3">
        <v>419</v>
      </c>
      <c r="M124" s="3">
        <v>-0.123244878992089</v>
      </c>
      <c r="N124" s="3">
        <v>7.6944046747854896E-4</v>
      </c>
      <c r="O124" s="3">
        <v>0</v>
      </c>
      <c r="P124" s="3">
        <v>8</v>
      </c>
      <c r="Q124" s="3">
        <v>0</v>
      </c>
      <c r="R124" s="3">
        <v>0</v>
      </c>
      <c r="S124" s="3">
        <v>161</v>
      </c>
      <c r="T124" s="3">
        <v>260</v>
      </c>
      <c r="U124" s="3">
        <v>0</v>
      </c>
      <c r="V124" s="3">
        <v>0</v>
      </c>
      <c r="W124" s="3">
        <v>0</v>
      </c>
      <c r="X124" s="3">
        <v>0</v>
      </c>
      <c r="Y124" s="3">
        <v>0</v>
      </c>
      <c r="Z124" s="3">
        <v>0</v>
      </c>
      <c r="AA124" s="3">
        <v>0.60606060606060597</v>
      </c>
      <c r="AB124" s="3">
        <v>0</v>
      </c>
      <c r="AC124" s="3">
        <v>0</v>
      </c>
      <c r="AD124" s="3">
        <v>0</v>
      </c>
      <c r="AE124" s="3">
        <v>0</v>
      </c>
      <c r="AF124" s="3">
        <v>1.8648018648018599E-2</v>
      </c>
      <c r="AG124" s="3">
        <v>0.37529137529137502</v>
      </c>
      <c r="AH124" s="3">
        <v>0</v>
      </c>
      <c r="AI124" s="3">
        <v>0</v>
      </c>
      <c r="AJ124" s="3">
        <v>0</v>
      </c>
      <c r="AK124" s="3">
        <v>0</v>
      </c>
      <c r="AL124" s="3">
        <v>0.206293706293706</v>
      </c>
      <c r="AM124" s="3">
        <v>0.79370629370629397</v>
      </c>
      <c r="AN124" s="3">
        <v>0.22857142857142901</v>
      </c>
      <c r="AO124" s="3">
        <v>0.156209150326797</v>
      </c>
      <c r="AP124" s="3">
        <v>0.120849420849421</v>
      </c>
      <c r="AQ124" s="3" t="s">
        <v>784</v>
      </c>
      <c r="AR124" s="3" t="s">
        <v>785</v>
      </c>
      <c r="AS124" s="3" t="s">
        <v>786</v>
      </c>
      <c r="AT124" s="3" t="s">
        <v>636</v>
      </c>
      <c r="AU124" s="4">
        <v>1</v>
      </c>
      <c r="AV124" s="5">
        <v>0.97009999999999996</v>
      </c>
      <c r="AW124" s="10" t="s">
        <v>787</v>
      </c>
      <c r="AX124" s="6" t="s">
        <v>927</v>
      </c>
    </row>
    <row r="125" spans="1:50" ht="56" x14ac:dyDescent="0.2">
      <c r="A125" s="3" t="s">
        <v>122</v>
      </c>
      <c r="B125" s="3" t="s">
        <v>123</v>
      </c>
      <c r="C125" s="3">
        <v>546958441</v>
      </c>
      <c r="D125" s="3" t="s">
        <v>58</v>
      </c>
      <c r="E125" s="3" t="s">
        <v>46</v>
      </c>
      <c r="F125" s="3" t="s">
        <v>59</v>
      </c>
      <c r="G125" s="3" t="s">
        <v>59</v>
      </c>
      <c r="H125" s="3" t="s">
        <v>117</v>
      </c>
      <c r="I125" s="3" t="s">
        <v>48</v>
      </c>
      <c r="J125" s="20" t="s">
        <v>124</v>
      </c>
      <c r="K125" s="3">
        <v>0.27565632458233902</v>
      </c>
      <c r="L125" s="3">
        <v>419</v>
      </c>
      <c r="M125" s="3">
        <v>-8.4651390545905494E-2</v>
      </c>
      <c r="N125" s="3">
        <v>4.3575602073448898E-4</v>
      </c>
      <c r="O125" s="20" t="s">
        <v>125</v>
      </c>
      <c r="P125" s="3">
        <v>183</v>
      </c>
      <c r="Q125" s="3">
        <v>0</v>
      </c>
      <c r="R125" s="3">
        <v>0</v>
      </c>
      <c r="S125" s="3">
        <v>0</v>
      </c>
      <c r="T125" s="3">
        <v>0</v>
      </c>
      <c r="U125" s="3">
        <v>68</v>
      </c>
      <c r="V125" s="3">
        <v>178</v>
      </c>
      <c r="W125" s="3">
        <v>0</v>
      </c>
      <c r="X125" s="3">
        <v>0</v>
      </c>
      <c r="Y125" s="3">
        <v>0</v>
      </c>
      <c r="Z125" s="3">
        <v>0</v>
      </c>
      <c r="AA125" s="3">
        <v>0</v>
      </c>
      <c r="AB125" s="3">
        <v>0.158508158508158</v>
      </c>
      <c r="AC125" s="3">
        <v>0</v>
      </c>
      <c r="AD125" s="3">
        <v>0</v>
      </c>
      <c r="AE125" s="3">
        <v>0</v>
      </c>
      <c r="AF125" s="3">
        <v>0.42657342657342701</v>
      </c>
      <c r="AG125" s="3">
        <v>0</v>
      </c>
      <c r="AH125" s="3">
        <v>0</v>
      </c>
      <c r="AI125" s="3">
        <v>0.41491841491841502</v>
      </c>
      <c r="AJ125" s="3">
        <v>0</v>
      </c>
      <c r="AK125" s="3">
        <v>0.36596736596736601</v>
      </c>
      <c r="AL125" s="3">
        <v>0.63403263403263399</v>
      </c>
      <c r="AM125" s="3">
        <v>0</v>
      </c>
      <c r="AN125" s="3">
        <v>0.14477611940298499</v>
      </c>
      <c r="AO125" s="3">
        <v>0.151149425287356</v>
      </c>
      <c r="AP125" s="3">
        <v>0.11685393258427</v>
      </c>
      <c r="AQ125" s="3" t="s">
        <v>914</v>
      </c>
      <c r="AR125" s="3"/>
      <c r="AS125" s="3" t="s">
        <v>788</v>
      </c>
      <c r="AT125" s="3" t="s">
        <v>636</v>
      </c>
      <c r="AU125" s="4">
        <v>1</v>
      </c>
      <c r="AV125" s="5">
        <v>0.94030000000000002</v>
      </c>
      <c r="AW125" s="10" t="s">
        <v>789</v>
      </c>
      <c r="AX125" s="6" t="s">
        <v>790</v>
      </c>
    </row>
    <row r="126" spans="1:50" x14ac:dyDescent="0.2">
      <c r="A126" s="3" t="s">
        <v>126</v>
      </c>
      <c r="B126" s="3" t="s">
        <v>123</v>
      </c>
      <c r="C126" s="3">
        <v>547551925</v>
      </c>
      <c r="D126" s="3" t="s">
        <v>127</v>
      </c>
      <c r="E126" s="3" t="s">
        <v>45</v>
      </c>
      <c r="F126" s="3" t="s">
        <v>53</v>
      </c>
      <c r="G126" s="3" t="s">
        <v>53</v>
      </c>
      <c r="H126" s="3" t="s">
        <v>117</v>
      </c>
      <c r="I126" s="3" t="s">
        <v>48</v>
      </c>
      <c r="J126" s="20" t="s">
        <v>128</v>
      </c>
      <c r="K126" s="3">
        <v>0.20525059665871101</v>
      </c>
      <c r="L126" s="3">
        <v>419</v>
      </c>
      <c r="M126" s="3">
        <v>-8.4833374429666097E-2</v>
      </c>
      <c r="N126" s="20" t="s">
        <v>129</v>
      </c>
      <c r="O126" s="3">
        <v>0.137881580440536</v>
      </c>
      <c r="P126" s="3">
        <v>0</v>
      </c>
      <c r="Q126" s="3">
        <v>0</v>
      </c>
      <c r="R126" s="3">
        <v>1</v>
      </c>
      <c r="S126" s="3">
        <v>0</v>
      </c>
      <c r="T126" s="3">
        <v>416</v>
      </c>
      <c r="U126" s="3">
        <v>0</v>
      </c>
      <c r="V126" s="3">
        <v>0</v>
      </c>
      <c r="W126" s="3">
        <v>0</v>
      </c>
      <c r="X126" s="3">
        <v>0</v>
      </c>
      <c r="Y126" s="3">
        <v>12</v>
      </c>
      <c r="Z126" s="3">
        <v>0</v>
      </c>
      <c r="AA126" s="3">
        <v>0.96969696969696995</v>
      </c>
      <c r="AB126" s="3">
        <v>0</v>
      </c>
      <c r="AC126" s="3">
        <v>0</v>
      </c>
      <c r="AD126" s="3">
        <v>2.3310023310023301E-3</v>
      </c>
      <c r="AE126" s="3">
        <v>0</v>
      </c>
      <c r="AF126" s="3">
        <v>0</v>
      </c>
      <c r="AG126" s="3">
        <v>0</v>
      </c>
      <c r="AH126" s="3">
        <v>2.7972027972028E-2</v>
      </c>
      <c r="AI126" s="3">
        <v>0</v>
      </c>
      <c r="AJ126" s="3">
        <v>1.6317016317016299E-2</v>
      </c>
      <c r="AK126" s="3">
        <v>0</v>
      </c>
      <c r="AL126" s="3">
        <v>0</v>
      </c>
      <c r="AM126" s="3">
        <v>0.98368298368298401</v>
      </c>
      <c r="AN126" s="3">
        <v>0</v>
      </c>
      <c r="AO126" s="3">
        <v>8.3333333333333301E-2</v>
      </c>
      <c r="AP126" s="3">
        <v>0.13743842364532</v>
      </c>
      <c r="AQ126" s="3"/>
      <c r="AR126" s="3"/>
      <c r="AS126" s="3"/>
      <c r="AT126" s="3"/>
      <c r="AU126" s="3"/>
      <c r="AV126" s="3"/>
      <c r="AW126" s="6"/>
      <c r="AX126" s="6"/>
    </row>
    <row r="127" spans="1:50" x14ac:dyDescent="0.2">
      <c r="A127" s="3" t="s">
        <v>130</v>
      </c>
      <c r="B127" s="3" t="s">
        <v>66</v>
      </c>
      <c r="C127" s="3">
        <v>75793122</v>
      </c>
      <c r="D127" s="3" t="s">
        <v>44</v>
      </c>
      <c r="E127" s="3" t="s">
        <v>45</v>
      </c>
      <c r="F127" s="3" t="s">
        <v>46</v>
      </c>
      <c r="G127" s="3" t="s">
        <v>46</v>
      </c>
      <c r="H127" s="3" t="s">
        <v>117</v>
      </c>
      <c r="I127" s="3" t="s">
        <v>48</v>
      </c>
      <c r="J127" s="20" t="s">
        <v>131</v>
      </c>
      <c r="K127" s="3">
        <v>0.144391408114558</v>
      </c>
      <c r="L127" s="3">
        <v>419</v>
      </c>
      <c r="M127" s="3">
        <v>-9.2124010701207307E-2</v>
      </c>
      <c r="N127" s="3">
        <v>6.3290818322730405E-4</v>
      </c>
      <c r="O127" s="3">
        <v>0.108806686548686</v>
      </c>
      <c r="P127" s="3">
        <v>11</v>
      </c>
      <c r="Q127" s="3">
        <v>0</v>
      </c>
      <c r="R127" s="3">
        <v>0</v>
      </c>
      <c r="S127" s="3">
        <v>82</v>
      </c>
      <c r="T127" s="3">
        <v>336</v>
      </c>
      <c r="U127" s="3">
        <v>0</v>
      </c>
      <c r="V127" s="3">
        <v>0</v>
      </c>
      <c r="W127" s="3">
        <v>0</v>
      </c>
      <c r="X127" s="3">
        <v>0</v>
      </c>
      <c r="Y127" s="3">
        <v>0</v>
      </c>
      <c r="Z127" s="3">
        <v>0</v>
      </c>
      <c r="AA127" s="3">
        <v>0.78321678321678301</v>
      </c>
      <c r="AB127" s="3">
        <v>0</v>
      </c>
      <c r="AC127" s="3">
        <v>0</v>
      </c>
      <c r="AD127" s="3">
        <v>0</v>
      </c>
      <c r="AE127" s="3">
        <v>0</v>
      </c>
      <c r="AF127" s="3">
        <v>2.5641025641025599E-2</v>
      </c>
      <c r="AG127" s="3">
        <v>0.191142191142191</v>
      </c>
      <c r="AH127" s="3">
        <v>0</v>
      </c>
      <c r="AI127" s="3">
        <v>0</v>
      </c>
      <c r="AJ127" s="3">
        <v>0</v>
      </c>
      <c r="AK127" s="3">
        <v>0</v>
      </c>
      <c r="AL127" s="3">
        <v>0.12121212121212099</v>
      </c>
      <c r="AM127" s="3">
        <v>0.87878787878787901</v>
      </c>
      <c r="AN127" s="3">
        <v>0.18</v>
      </c>
      <c r="AO127" s="3">
        <v>0.13670886075949401</v>
      </c>
      <c r="AP127" s="3">
        <v>0.133939393939394</v>
      </c>
      <c r="AQ127" s="3" t="s">
        <v>791</v>
      </c>
      <c r="AR127" s="3" t="s">
        <v>635</v>
      </c>
      <c r="AS127" s="3" t="s">
        <v>913</v>
      </c>
      <c r="AT127" s="3"/>
      <c r="AU127" s="3"/>
      <c r="AV127" s="3"/>
      <c r="AW127" s="6"/>
      <c r="AX127" s="6"/>
    </row>
    <row r="128" spans="1:50" x14ac:dyDescent="0.2">
      <c r="A128" s="3" t="s">
        <v>132</v>
      </c>
      <c r="B128" s="3" t="s">
        <v>70</v>
      </c>
      <c r="C128" s="3">
        <v>384868013</v>
      </c>
      <c r="D128" s="3" t="s">
        <v>109</v>
      </c>
      <c r="E128" s="3" t="s">
        <v>59</v>
      </c>
      <c r="F128" s="3" t="s">
        <v>45</v>
      </c>
      <c r="G128" s="3" t="s">
        <v>45</v>
      </c>
      <c r="H128" s="3" t="s">
        <v>117</v>
      </c>
      <c r="I128" s="3" t="s">
        <v>48</v>
      </c>
      <c r="J128" s="20" t="s">
        <v>133</v>
      </c>
      <c r="K128" s="3">
        <v>4.0572792362768499E-2</v>
      </c>
      <c r="L128" s="3">
        <v>419</v>
      </c>
      <c r="M128" s="3">
        <v>-0.16595067985443901</v>
      </c>
      <c r="N128" s="3">
        <v>1.40211565274722E-4</v>
      </c>
      <c r="O128" s="3">
        <v>0.55633208333815198</v>
      </c>
      <c r="P128" s="3">
        <v>0</v>
      </c>
      <c r="Q128" s="3">
        <v>0</v>
      </c>
      <c r="R128" s="3">
        <v>0</v>
      </c>
      <c r="S128" s="3">
        <v>0</v>
      </c>
      <c r="T128" s="3">
        <v>0</v>
      </c>
      <c r="U128" s="3">
        <v>422</v>
      </c>
      <c r="V128" s="3">
        <v>0</v>
      </c>
      <c r="W128" s="3">
        <v>7</v>
      </c>
      <c r="X128" s="3">
        <v>0</v>
      </c>
      <c r="Y128" s="3">
        <v>0</v>
      </c>
      <c r="Z128" s="3">
        <v>1.6317016317016299E-2</v>
      </c>
      <c r="AA128" s="3">
        <v>0</v>
      </c>
      <c r="AB128" s="3">
        <v>0.98368298368298401</v>
      </c>
      <c r="AC128" s="3">
        <v>0</v>
      </c>
      <c r="AD128" s="3">
        <v>0</v>
      </c>
      <c r="AE128" s="3">
        <v>0</v>
      </c>
      <c r="AF128" s="3">
        <v>0</v>
      </c>
      <c r="AG128" s="3">
        <v>0</v>
      </c>
      <c r="AH128" s="3">
        <v>0</v>
      </c>
      <c r="AI128" s="3">
        <v>0</v>
      </c>
      <c r="AJ128" s="3">
        <v>0</v>
      </c>
      <c r="AK128" s="3">
        <v>0.99184149184149195</v>
      </c>
      <c r="AL128" s="3">
        <v>0</v>
      </c>
      <c r="AM128" s="3">
        <v>8.1585081585081598E-3</v>
      </c>
      <c r="AN128" s="3" t="s">
        <v>55</v>
      </c>
      <c r="AO128" s="3">
        <v>3.3333333333333298E-2</v>
      </c>
      <c r="AP128" s="3">
        <v>0.137046004842615</v>
      </c>
      <c r="AQ128" s="3" t="s">
        <v>792</v>
      </c>
      <c r="AR128" s="3" t="s">
        <v>635</v>
      </c>
      <c r="AS128" s="3" t="s">
        <v>635</v>
      </c>
      <c r="AT128" s="3" t="s">
        <v>636</v>
      </c>
      <c r="AU128" s="4">
        <v>1</v>
      </c>
      <c r="AV128" s="5">
        <v>0.88239999999999996</v>
      </c>
      <c r="AW128" s="6"/>
      <c r="AX128" s="6"/>
    </row>
    <row r="129" spans="1:50" ht="140" x14ac:dyDescent="0.2">
      <c r="A129" s="3" t="s">
        <v>200</v>
      </c>
      <c r="B129" s="3" t="s">
        <v>43</v>
      </c>
      <c r="C129" s="3">
        <v>222837735</v>
      </c>
      <c r="D129" s="3" t="s">
        <v>71</v>
      </c>
      <c r="E129" s="3" t="s">
        <v>45</v>
      </c>
      <c r="F129" s="3" t="s">
        <v>59</v>
      </c>
      <c r="G129" s="3" t="s">
        <v>59</v>
      </c>
      <c r="H129" s="3" t="s">
        <v>117</v>
      </c>
      <c r="I129" s="3" t="s">
        <v>181</v>
      </c>
      <c r="J129" s="20" t="s">
        <v>201</v>
      </c>
      <c r="K129" s="3">
        <v>5.7783018867924502E-2</v>
      </c>
      <c r="L129" s="3">
        <v>424</v>
      </c>
      <c r="M129" s="3">
        <v>-1.19237874382598E-2</v>
      </c>
      <c r="N129" s="3">
        <v>4.2395851597561299E-3</v>
      </c>
      <c r="O129" s="3">
        <v>0</v>
      </c>
      <c r="P129" s="3">
        <v>0</v>
      </c>
      <c r="Q129" s="3">
        <v>0</v>
      </c>
      <c r="R129" s="3">
        <v>0</v>
      </c>
      <c r="S129" s="3">
        <v>0</v>
      </c>
      <c r="T129" s="3">
        <v>380</v>
      </c>
      <c r="U129" s="3">
        <v>1</v>
      </c>
      <c r="V129" s="3">
        <v>0</v>
      </c>
      <c r="W129" s="3">
        <v>48</v>
      </c>
      <c r="X129" s="3">
        <v>0</v>
      </c>
      <c r="Y129" s="3">
        <v>0</v>
      </c>
      <c r="Z129" s="3">
        <v>0.111888111888112</v>
      </c>
      <c r="AA129" s="3">
        <v>0.88578088578088598</v>
      </c>
      <c r="AB129" s="3">
        <v>2.3310023310023301E-3</v>
      </c>
      <c r="AC129" s="3">
        <v>0</v>
      </c>
      <c r="AD129" s="3">
        <v>0</v>
      </c>
      <c r="AE129" s="3">
        <v>0</v>
      </c>
      <c r="AF129" s="3">
        <v>0</v>
      </c>
      <c r="AG129" s="3">
        <v>0</v>
      </c>
      <c r="AH129" s="3">
        <v>0</v>
      </c>
      <c r="AI129" s="3">
        <v>0</v>
      </c>
      <c r="AJ129" s="3">
        <v>0</v>
      </c>
      <c r="AK129" s="3">
        <v>5.82750582750583E-2</v>
      </c>
      <c r="AL129" s="3">
        <v>0</v>
      </c>
      <c r="AM129" s="3">
        <v>0.94172494172494203</v>
      </c>
      <c r="AN129" s="3">
        <v>0.21742857139999999</v>
      </c>
      <c r="AO129" s="3">
        <v>0.19587837500425501</v>
      </c>
      <c r="AP129" s="3">
        <v>0.18356941788377701</v>
      </c>
      <c r="AQ129" s="3" t="s">
        <v>793</v>
      </c>
      <c r="AR129" s="3" t="s">
        <v>794</v>
      </c>
      <c r="AS129" s="3" t="s">
        <v>913</v>
      </c>
      <c r="AT129" s="3"/>
      <c r="AU129" s="3"/>
      <c r="AV129" s="3"/>
      <c r="AW129" s="15" t="s">
        <v>795</v>
      </c>
      <c r="AX129" s="6" t="s">
        <v>928</v>
      </c>
    </row>
    <row r="130" spans="1:50" x14ac:dyDescent="0.2">
      <c r="A130" s="3" t="s">
        <v>202</v>
      </c>
      <c r="B130" s="3" t="s">
        <v>90</v>
      </c>
      <c r="C130" s="3">
        <v>161464914</v>
      </c>
      <c r="D130" s="3" t="s">
        <v>44</v>
      </c>
      <c r="E130" s="3" t="s">
        <v>45</v>
      </c>
      <c r="F130" s="3" t="s">
        <v>46</v>
      </c>
      <c r="G130" s="3" t="s">
        <v>46</v>
      </c>
      <c r="H130" s="3" t="s">
        <v>117</v>
      </c>
      <c r="I130" s="3" t="s">
        <v>181</v>
      </c>
      <c r="J130" s="20" t="s">
        <v>203</v>
      </c>
      <c r="K130" s="3">
        <v>5.8962264150943397E-2</v>
      </c>
      <c r="L130" s="3">
        <v>424</v>
      </c>
      <c r="M130" s="3">
        <v>1.1873530668943E-2</v>
      </c>
      <c r="N130" s="3">
        <v>4.2395851597561299E-3</v>
      </c>
      <c r="O130" s="3">
        <v>0.94747468372533905</v>
      </c>
      <c r="P130" s="3">
        <v>25</v>
      </c>
      <c r="Q130" s="3">
        <v>0</v>
      </c>
      <c r="R130" s="3">
        <v>0</v>
      </c>
      <c r="S130" s="3">
        <v>146</v>
      </c>
      <c r="T130" s="3">
        <v>258</v>
      </c>
      <c r="U130" s="3">
        <v>0</v>
      </c>
      <c r="V130" s="3">
        <v>0</v>
      </c>
      <c r="W130" s="3">
        <v>0</v>
      </c>
      <c r="X130" s="3">
        <v>0</v>
      </c>
      <c r="Y130" s="3">
        <v>0</v>
      </c>
      <c r="Z130" s="3">
        <v>0</v>
      </c>
      <c r="AA130" s="3">
        <v>0.60139860139860102</v>
      </c>
      <c r="AB130" s="3">
        <v>0</v>
      </c>
      <c r="AC130" s="3">
        <v>0</v>
      </c>
      <c r="AD130" s="3">
        <v>0</v>
      </c>
      <c r="AE130" s="3">
        <v>0</v>
      </c>
      <c r="AF130" s="3">
        <v>5.82750582750583E-2</v>
      </c>
      <c r="AG130" s="3">
        <v>0.34032634032634002</v>
      </c>
      <c r="AH130" s="3">
        <v>0</v>
      </c>
      <c r="AI130" s="3">
        <v>0</v>
      </c>
      <c r="AJ130" s="3">
        <v>0</v>
      </c>
      <c r="AK130" s="3">
        <v>0</v>
      </c>
      <c r="AL130" s="3">
        <v>0.228438228438228</v>
      </c>
      <c r="AM130" s="3">
        <v>0.77156177156177197</v>
      </c>
      <c r="AN130" s="3">
        <v>0.18328681046799999</v>
      </c>
      <c r="AO130" s="3">
        <v>0.188499615516552</v>
      </c>
      <c r="AP130" s="3">
        <v>0.18319369609960601</v>
      </c>
      <c r="AQ130" s="3"/>
      <c r="AR130" s="3"/>
      <c r="AS130" s="3"/>
      <c r="AT130" s="3"/>
      <c r="AU130" s="3"/>
      <c r="AV130" s="3"/>
      <c r="AW130" s="6"/>
      <c r="AX130" s="6"/>
    </row>
    <row r="131" spans="1:50" x14ac:dyDescent="0.2">
      <c r="A131" s="3" t="s">
        <v>204</v>
      </c>
      <c r="B131" s="3" t="s">
        <v>152</v>
      </c>
      <c r="C131" s="3">
        <v>558194717</v>
      </c>
      <c r="D131" s="3" t="s">
        <v>139</v>
      </c>
      <c r="E131" s="3" t="s">
        <v>46</v>
      </c>
      <c r="F131" s="3" t="s">
        <v>45</v>
      </c>
      <c r="G131" s="3" t="s">
        <v>45</v>
      </c>
      <c r="H131" s="3" t="s">
        <v>117</v>
      </c>
      <c r="I131" s="3" t="s">
        <v>181</v>
      </c>
      <c r="J131" s="20" t="s">
        <v>205</v>
      </c>
      <c r="K131" s="3">
        <v>1.1792452830188299E-3</v>
      </c>
      <c r="L131" s="3">
        <v>424</v>
      </c>
      <c r="M131" s="3">
        <v>-0.46292510729568898</v>
      </c>
      <c r="N131" s="20" t="s">
        <v>206</v>
      </c>
      <c r="O131" s="3">
        <v>0</v>
      </c>
      <c r="P131" s="3">
        <v>333</v>
      </c>
      <c r="Q131" s="3">
        <v>0</v>
      </c>
      <c r="R131" s="3">
        <v>0</v>
      </c>
      <c r="S131" s="3">
        <v>66</v>
      </c>
      <c r="T131" s="3">
        <v>30</v>
      </c>
      <c r="U131" s="3">
        <v>0</v>
      </c>
      <c r="V131" s="3">
        <v>0</v>
      </c>
      <c r="W131" s="3">
        <v>0</v>
      </c>
      <c r="X131" s="3">
        <v>0</v>
      </c>
      <c r="Y131" s="3">
        <v>0</v>
      </c>
      <c r="Z131" s="3">
        <v>0</v>
      </c>
      <c r="AA131" s="3">
        <v>6.9930069930069894E-2</v>
      </c>
      <c r="AB131" s="3">
        <v>0</v>
      </c>
      <c r="AC131" s="3">
        <v>0</v>
      </c>
      <c r="AD131" s="3">
        <v>0</v>
      </c>
      <c r="AE131" s="3">
        <v>0</v>
      </c>
      <c r="AF131" s="3">
        <v>0.77622377622377603</v>
      </c>
      <c r="AG131" s="3">
        <v>0.15384615384615399</v>
      </c>
      <c r="AH131" s="3">
        <v>0</v>
      </c>
      <c r="AI131" s="3">
        <v>0</v>
      </c>
      <c r="AJ131" s="3">
        <v>0</v>
      </c>
      <c r="AK131" s="3">
        <v>0</v>
      </c>
      <c r="AL131" s="3">
        <v>0.85314685314685301</v>
      </c>
      <c r="AM131" s="3">
        <v>0.14685314685314699</v>
      </c>
      <c r="AN131" s="3">
        <v>0.18716958152666699</v>
      </c>
      <c r="AO131" s="3">
        <v>0.184034200681538</v>
      </c>
      <c r="AP131" s="3">
        <v>0.18501064690212801</v>
      </c>
      <c r="AQ131" s="3"/>
      <c r="AR131" s="3"/>
      <c r="AS131" s="3"/>
      <c r="AT131" s="3"/>
      <c r="AU131" s="3"/>
      <c r="AV131" s="3"/>
      <c r="AW131" s="6"/>
      <c r="AX131" s="6"/>
    </row>
    <row r="132" spans="1:50" x14ac:dyDescent="0.2">
      <c r="A132" s="3" t="s">
        <v>207</v>
      </c>
      <c r="B132" s="3" t="s">
        <v>160</v>
      </c>
      <c r="C132" s="3">
        <v>223162383</v>
      </c>
      <c r="D132" s="3" t="s">
        <v>71</v>
      </c>
      <c r="E132" s="3" t="s">
        <v>45</v>
      </c>
      <c r="F132" s="3" t="s">
        <v>59</v>
      </c>
      <c r="G132" s="3" t="s">
        <v>59</v>
      </c>
      <c r="H132" s="3" t="s">
        <v>117</v>
      </c>
      <c r="I132" s="3" t="s">
        <v>181</v>
      </c>
      <c r="J132" s="20" t="s">
        <v>208</v>
      </c>
      <c r="K132" s="3">
        <v>0.209905660377358</v>
      </c>
      <c r="L132" s="3">
        <v>424</v>
      </c>
      <c r="M132" s="3">
        <v>-6.7721177577696199E-3</v>
      </c>
      <c r="N132" s="3">
        <v>3.9666620114214499E-3</v>
      </c>
      <c r="O132" s="3">
        <v>0</v>
      </c>
      <c r="P132" s="3">
        <v>0</v>
      </c>
      <c r="Q132" s="3">
        <v>0</v>
      </c>
      <c r="R132" s="3">
        <v>0</v>
      </c>
      <c r="S132" s="3">
        <v>0</v>
      </c>
      <c r="T132" s="3">
        <v>258</v>
      </c>
      <c r="U132" s="3">
        <v>31</v>
      </c>
      <c r="V132" s="3">
        <v>0</v>
      </c>
      <c r="W132" s="3">
        <v>140</v>
      </c>
      <c r="X132" s="3">
        <v>0</v>
      </c>
      <c r="Y132" s="3">
        <v>0</v>
      </c>
      <c r="Z132" s="3">
        <v>0.326340326340326</v>
      </c>
      <c r="AA132" s="3">
        <v>0.60139860139860102</v>
      </c>
      <c r="AB132" s="3">
        <v>7.2261072261072298E-2</v>
      </c>
      <c r="AC132" s="3">
        <v>0</v>
      </c>
      <c r="AD132" s="3">
        <v>0</v>
      </c>
      <c r="AE132" s="3">
        <v>0</v>
      </c>
      <c r="AF132" s="3">
        <v>0</v>
      </c>
      <c r="AG132" s="3">
        <v>0</v>
      </c>
      <c r="AH132" s="3">
        <v>0</v>
      </c>
      <c r="AI132" s="3">
        <v>0</v>
      </c>
      <c r="AJ132" s="3">
        <v>0</v>
      </c>
      <c r="AK132" s="3">
        <v>0.23543123543123501</v>
      </c>
      <c r="AL132" s="3">
        <v>0</v>
      </c>
      <c r="AM132" s="3">
        <v>0.76456876456876499</v>
      </c>
      <c r="AN132" s="3">
        <v>0.179373048451613</v>
      </c>
      <c r="AO132" s="3">
        <v>0.18937301972857101</v>
      </c>
      <c r="AP132" s="3">
        <v>0.18329259311027701</v>
      </c>
      <c r="AQ132" s="3"/>
      <c r="AR132" s="3"/>
      <c r="AS132" s="3"/>
      <c r="AT132" s="3"/>
      <c r="AU132" s="3"/>
      <c r="AV132" s="3"/>
      <c r="AW132" s="6"/>
      <c r="AX132" s="6"/>
    </row>
    <row r="133" spans="1:50" ht="98" x14ac:dyDescent="0.2">
      <c r="A133" s="3" t="s">
        <v>209</v>
      </c>
      <c r="B133" s="3" t="s">
        <v>160</v>
      </c>
      <c r="C133" s="3">
        <v>288544736</v>
      </c>
      <c r="D133" s="3" t="s">
        <v>44</v>
      </c>
      <c r="E133" s="3" t="s">
        <v>45</v>
      </c>
      <c r="F133" s="3" t="s">
        <v>46</v>
      </c>
      <c r="G133" s="3" t="s">
        <v>46</v>
      </c>
      <c r="H133" s="3" t="s">
        <v>117</v>
      </c>
      <c r="I133" s="3" t="s">
        <v>181</v>
      </c>
      <c r="J133" s="20" t="s">
        <v>210</v>
      </c>
      <c r="K133" s="3">
        <v>0.41509433962264197</v>
      </c>
      <c r="L133" s="3">
        <v>424</v>
      </c>
      <c r="M133" s="3">
        <v>-5.7663193400920897E-3</v>
      </c>
      <c r="N133" s="3">
        <v>7.5814265400506297E-3</v>
      </c>
      <c r="O133" s="3">
        <v>0</v>
      </c>
      <c r="P133" s="3">
        <v>0</v>
      </c>
      <c r="Q133" s="3">
        <v>0</v>
      </c>
      <c r="R133" s="3">
        <v>0</v>
      </c>
      <c r="S133" s="3">
        <v>28</v>
      </c>
      <c r="T133" s="3">
        <v>401</v>
      </c>
      <c r="U133" s="3">
        <v>0</v>
      </c>
      <c r="V133" s="3">
        <v>0</v>
      </c>
      <c r="W133" s="3">
        <v>0</v>
      </c>
      <c r="X133" s="3">
        <v>0</v>
      </c>
      <c r="Y133" s="3">
        <v>0</v>
      </c>
      <c r="Z133" s="3">
        <v>0</v>
      </c>
      <c r="AA133" s="3">
        <v>0.93473193473193505</v>
      </c>
      <c r="AB133" s="3">
        <v>0</v>
      </c>
      <c r="AC133" s="3">
        <v>0</v>
      </c>
      <c r="AD133" s="3">
        <v>0</v>
      </c>
      <c r="AE133" s="3">
        <v>0</v>
      </c>
      <c r="AF133" s="3">
        <v>0</v>
      </c>
      <c r="AG133" s="3">
        <v>6.5268065268065306E-2</v>
      </c>
      <c r="AH133" s="3">
        <v>0</v>
      </c>
      <c r="AI133" s="3">
        <v>0</v>
      </c>
      <c r="AJ133" s="3">
        <v>0</v>
      </c>
      <c r="AK133" s="3">
        <v>0</v>
      </c>
      <c r="AL133" s="3">
        <v>3.2634032634032598E-2</v>
      </c>
      <c r="AM133" s="3">
        <v>0.96736596736596703</v>
      </c>
      <c r="AN133" s="3" t="s">
        <v>55</v>
      </c>
      <c r="AO133" s="3">
        <v>0.188114688367857</v>
      </c>
      <c r="AP133" s="3">
        <v>0.184794449612626</v>
      </c>
      <c r="AQ133" s="3" t="s">
        <v>796</v>
      </c>
      <c r="AR133" s="3" t="s">
        <v>797</v>
      </c>
      <c r="AS133" s="3" t="s">
        <v>798</v>
      </c>
      <c r="AT133" s="3" t="s">
        <v>636</v>
      </c>
      <c r="AU133" s="4">
        <v>0.78</v>
      </c>
      <c r="AV133" s="5">
        <v>0.94940000000000002</v>
      </c>
      <c r="AW133" s="10" t="s">
        <v>799</v>
      </c>
      <c r="AX133" s="6" t="s">
        <v>800</v>
      </c>
    </row>
    <row r="134" spans="1:50" ht="70" x14ac:dyDescent="0.2">
      <c r="A134" s="3" t="s">
        <v>211</v>
      </c>
      <c r="B134" s="3" t="s">
        <v>97</v>
      </c>
      <c r="C134" s="3">
        <v>103469367</v>
      </c>
      <c r="D134" s="3" t="s">
        <v>67</v>
      </c>
      <c r="E134" s="3" t="s">
        <v>46</v>
      </c>
      <c r="F134" s="3" t="s">
        <v>53</v>
      </c>
      <c r="G134" s="3" t="s">
        <v>46</v>
      </c>
      <c r="H134" s="3" t="s">
        <v>117</v>
      </c>
      <c r="I134" s="3" t="s">
        <v>181</v>
      </c>
      <c r="J134" s="20" t="s">
        <v>212</v>
      </c>
      <c r="K134" s="3">
        <v>7.4292452830188704E-2</v>
      </c>
      <c r="L134" s="3">
        <v>424</v>
      </c>
      <c r="M134" s="3">
        <v>9.9718502998866806E-3</v>
      </c>
      <c r="N134" s="3">
        <v>7.2669578834499704E-3</v>
      </c>
      <c r="O134" s="3">
        <v>0</v>
      </c>
      <c r="P134" s="3">
        <v>1</v>
      </c>
      <c r="Q134" s="3">
        <v>38</v>
      </c>
      <c r="R134" s="3">
        <v>390</v>
      </c>
      <c r="S134" s="3">
        <v>0</v>
      </c>
      <c r="T134" s="3">
        <v>0</v>
      </c>
      <c r="U134" s="3">
        <v>0</v>
      </c>
      <c r="V134" s="3">
        <v>0</v>
      </c>
      <c r="W134" s="3">
        <v>0</v>
      </c>
      <c r="X134" s="3">
        <v>0</v>
      </c>
      <c r="Y134" s="3">
        <v>0</v>
      </c>
      <c r="Z134" s="3">
        <v>0</v>
      </c>
      <c r="AA134" s="3">
        <v>0</v>
      </c>
      <c r="AB134" s="3">
        <v>0</v>
      </c>
      <c r="AC134" s="3">
        <v>0</v>
      </c>
      <c r="AD134" s="3">
        <v>0.90909090909090895</v>
      </c>
      <c r="AE134" s="3">
        <v>8.8578088578088604E-2</v>
      </c>
      <c r="AF134" s="3">
        <v>2.3310023310023301E-3</v>
      </c>
      <c r="AG134" s="3">
        <v>0</v>
      </c>
      <c r="AH134" s="3">
        <v>0</v>
      </c>
      <c r="AI134" s="3">
        <v>0</v>
      </c>
      <c r="AJ134" s="3">
        <v>0.95337995337995296</v>
      </c>
      <c r="AK134" s="3">
        <v>0</v>
      </c>
      <c r="AL134" s="3">
        <v>4.6620046620046603E-2</v>
      </c>
      <c r="AM134" s="3">
        <v>0</v>
      </c>
      <c r="AN134" s="3">
        <v>0.22266666669999999</v>
      </c>
      <c r="AO134" s="3">
        <v>0.184961893056757</v>
      </c>
      <c r="AP134" s="3">
        <v>0.184921131116839</v>
      </c>
      <c r="AQ134" s="3" t="s">
        <v>801</v>
      </c>
      <c r="AR134" s="3" t="s">
        <v>802</v>
      </c>
      <c r="AS134" s="3" t="s">
        <v>803</v>
      </c>
      <c r="AT134" s="3" t="s">
        <v>636</v>
      </c>
      <c r="AU134" s="4">
        <v>1</v>
      </c>
      <c r="AV134" s="5">
        <v>0.97509999999999997</v>
      </c>
      <c r="AW134" s="16" t="s">
        <v>804</v>
      </c>
      <c r="AX134" s="6" t="s">
        <v>805</v>
      </c>
    </row>
    <row r="135" spans="1:50" x14ac:dyDescent="0.2">
      <c r="A135" s="3" t="s">
        <v>334</v>
      </c>
      <c r="B135" s="3" t="s">
        <v>120</v>
      </c>
      <c r="C135" s="3">
        <v>317782015</v>
      </c>
      <c r="D135" s="3" t="s">
        <v>52</v>
      </c>
      <c r="E135" s="3" t="s">
        <v>46</v>
      </c>
      <c r="F135" s="3" t="s">
        <v>53</v>
      </c>
      <c r="G135" s="3" t="s">
        <v>53</v>
      </c>
      <c r="H135" s="3" t="s">
        <v>117</v>
      </c>
      <c r="I135" s="3" t="s">
        <v>259</v>
      </c>
      <c r="J135" s="20" t="s">
        <v>335</v>
      </c>
      <c r="K135" s="3">
        <v>0.29189189189189202</v>
      </c>
      <c r="L135" s="3">
        <v>370</v>
      </c>
      <c r="M135" s="3">
        <v>0.103203959127093</v>
      </c>
      <c r="N135" s="3">
        <v>2.3065697518262401E-2</v>
      </c>
      <c r="O135" s="3">
        <v>7.5428054927603299</v>
      </c>
      <c r="P135" s="3">
        <v>138</v>
      </c>
      <c r="Q135" s="3">
        <v>270</v>
      </c>
      <c r="R135" s="3">
        <v>21</v>
      </c>
      <c r="S135" s="3">
        <v>0</v>
      </c>
      <c r="T135" s="3">
        <v>0</v>
      </c>
      <c r="U135" s="3">
        <v>0</v>
      </c>
      <c r="V135" s="3">
        <v>0</v>
      </c>
      <c r="W135" s="3">
        <v>0</v>
      </c>
      <c r="X135" s="3">
        <v>0</v>
      </c>
      <c r="Y135" s="3">
        <v>0</v>
      </c>
      <c r="Z135" s="3">
        <v>0</v>
      </c>
      <c r="AA135" s="3">
        <v>0</v>
      </c>
      <c r="AB135" s="3">
        <v>0</v>
      </c>
      <c r="AC135" s="3">
        <v>0</v>
      </c>
      <c r="AD135" s="3">
        <v>4.8951048951049E-2</v>
      </c>
      <c r="AE135" s="3">
        <v>0.62937062937062904</v>
      </c>
      <c r="AF135" s="3">
        <v>0.321678321678322</v>
      </c>
      <c r="AG135" s="3">
        <v>0</v>
      </c>
      <c r="AH135" s="3">
        <v>0</v>
      </c>
      <c r="AI135" s="3">
        <v>0</v>
      </c>
      <c r="AJ135" s="3">
        <v>0.36363636363636398</v>
      </c>
      <c r="AK135" s="3">
        <v>0</v>
      </c>
      <c r="AL135" s="3">
        <v>0.63636363636363602</v>
      </c>
      <c r="AM135" s="3">
        <v>0</v>
      </c>
      <c r="AN135" s="3">
        <v>0.62105263157894697</v>
      </c>
      <c r="AO135" s="3">
        <v>0.66638297872340402</v>
      </c>
      <c r="AP135" s="3">
        <v>0.67068965517241397</v>
      </c>
      <c r="AQ135" s="3"/>
      <c r="AR135" s="3"/>
      <c r="AS135" s="3"/>
      <c r="AT135" s="3"/>
      <c r="AU135" s="3"/>
      <c r="AV135" s="3"/>
      <c r="AW135" s="6"/>
      <c r="AX135" s="6"/>
    </row>
    <row r="136" spans="1:50" x14ac:dyDescent="0.2">
      <c r="A136" s="3" t="s">
        <v>233</v>
      </c>
      <c r="B136" s="3" t="s">
        <v>90</v>
      </c>
      <c r="C136" s="3">
        <v>629468571</v>
      </c>
      <c r="D136" s="3" t="s">
        <v>109</v>
      </c>
      <c r="E136" s="3" t="s">
        <v>59</v>
      </c>
      <c r="F136" s="3" t="s">
        <v>45</v>
      </c>
      <c r="G136" s="3" t="s">
        <v>45</v>
      </c>
      <c r="H136" s="3" t="s">
        <v>234</v>
      </c>
      <c r="I136" s="3" t="s">
        <v>181</v>
      </c>
      <c r="J136" s="20" t="s">
        <v>235</v>
      </c>
      <c r="K136" s="3">
        <v>0.22051886792452799</v>
      </c>
      <c r="L136" s="3">
        <v>424</v>
      </c>
      <c r="M136" s="3">
        <v>-3.5893732860926502</v>
      </c>
      <c r="N136" s="3">
        <v>1.2620793244807099E-4</v>
      </c>
      <c r="O136" s="3">
        <v>0</v>
      </c>
      <c r="P136" s="3">
        <v>0</v>
      </c>
      <c r="Q136" s="3">
        <v>0</v>
      </c>
      <c r="R136" s="3">
        <v>0</v>
      </c>
      <c r="S136" s="3">
        <v>0</v>
      </c>
      <c r="T136" s="3">
        <v>13</v>
      </c>
      <c r="U136" s="3">
        <v>309</v>
      </c>
      <c r="V136" s="3">
        <v>0</v>
      </c>
      <c r="W136" s="3">
        <v>107</v>
      </c>
      <c r="X136" s="3">
        <v>0</v>
      </c>
      <c r="Y136" s="3">
        <v>0</v>
      </c>
      <c r="Z136" s="3">
        <v>0.24941724941724899</v>
      </c>
      <c r="AA136" s="3">
        <v>3.03030303030303E-2</v>
      </c>
      <c r="AB136" s="3">
        <v>0.72027972027971998</v>
      </c>
      <c r="AC136" s="3">
        <v>0</v>
      </c>
      <c r="AD136" s="3">
        <v>0</v>
      </c>
      <c r="AE136" s="3">
        <v>0</v>
      </c>
      <c r="AF136" s="3">
        <v>0</v>
      </c>
      <c r="AG136" s="3">
        <v>0</v>
      </c>
      <c r="AH136" s="3">
        <v>0</v>
      </c>
      <c r="AI136" s="3">
        <v>0</v>
      </c>
      <c r="AJ136" s="3">
        <v>0</v>
      </c>
      <c r="AK136" s="3">
        <v>0.84498834498834496</v>
      </c>
      <c r="AL136" s="3">
        <v>0</v>
      </c>
      <c r="AM136" s="3">
        <v>0.15501165501165501</v>
      </c>
      <c r="AN136" s="3">
        <v>5.3076923076923102</v>
      </c>
      <c r="AO136" s="3">
        <v>11.076190476190501</v>
      </c>
      <c r="AP136" s="3">
        <v>8.7679738562091494</v>
      </c>
      <c r="AQ136" s="3"/>
      <c r="AR136" s="3"/>
      <c r="AS136" s="3"/>
      <c r="AT136" s="3"/>
      <c r="AU136" s="3"/>
      <c r="AV136" s="3"/>
      <c r="AW136" s="6"/>
      <c r="AX136" s="6"/>
    </row>
    <row r="137" spans="1:50" x14ac:dyDescent="0.2">
      <c r="A137" s="3" t="s">
        <v>236</v>
      </c>
      <c r="B137" s="3" t="s">
        <v>138</v>
      </c>
      <c r="C137" s="3">
        <v>42387257</v>
      </c>
      <c r="D137" s="3" t="s">
        <v>52</v>
      </c>
      <c r="E137" s="3" t="s">
        <v>46</v>
      </c>
      <c r="F137" s="3" t="s">
        <v>53</v>
      </c>
      <c r="G137" s="3" t="s">
        <v>53</v>
      </c>
      <c r="H137" s="3" t="s">
        <v>234</v>
      </c>
      <c r="I137" s="3" t="s">
        <v>181</v>
      </c>
      <c r="J137" s="20" t="s">
        <v>237</v>
      </c>
      <c r="K137" s="3">
        <v>0.36792452830188699</v>
      </c>
      <c r="L137" s="3">
        <v>424</v>
      </c>
      <c r="M137" s="3">
        <v>-2.4446762975391301</v>
      </c>
      <c r="N137" s="3">
        <v>1.08455530642168E-3</v>
      </c>
      <c r="O137" s="3">
        <v>2.3194789548339001</v>
      </c>
      <c r="P137" s="3">
        <v>415</v>
      </c>
      <c r="Q137" s="3">
        <v>9</v>
      </c>
      <c r="R137" s="3">
        <v>5</v>
      </c>
      <c r="S137" s="3">
        <v>0</v>
      </c>
      <c r="T137" s="3">
        <v>0</v>
      </c>
      <c r="U137" s="3">
        <v>0</v>
      </c>
      <c r="V137" s="3">
        <v>0</v>
      </c>
      <c r="W137" s="3">
        <v>0</v>
      </c>
      <c r="X137" s="3">
        <v>0</v>
      </c>
      <c r="Y137" s="3">
        <v>0</v>
      </c>
      <c r="Z137" s="3">
        <v>0</v>
      </c>
      <c r="AA137" s="3">
        <v>0</v>
      </c>
      <c r="AB137" s="3">
        <v>0</v>
      </c>
      <c r="AC137" s="3">
        <v>0</v>
      </c>
      <c r="AD137" s="3">
        <v>1.1655011655011699E-2</v>
      </c>
      <c r="AE137" s="3">
        <v>2.0979020979021001E-2</v>
      </c>
      <c r="AF137" s="3">
        <v>0.96736596736596703</v>
      </c>
      <c r="AG137" s="3">
        <v>0</v>
      </c>
      <c r="AH137" s="3">
        <v>0</v>
      </c>
      <c r="AI137" s="3">
        <v>0</v>
      </c>
      <c r="AJ137" s="3">
        <v>2.2144522144522099E-2</v>
      </c>
      <c r="AK137" s="3">
        <v>0</v>
      </c>
      <c r="AL137" s="3">
        <v>0.97785547785547799</v>
      </c>
      <c r="AM137" s="3">
        <v>0</v>
      </c>
      <c r="AN137" s="3">
        <v>4.8</v>
      </c>
      <c r="AO137" s="3">
        <v>4.5555555555555598</v>
      </c>
      <c r="AP137" s="3">
        <v>9.3902439024390194</v>
      </c>
      <c r="AQ137" s="3"/>
      <c r="AR137" s="3"/>
      <c r="AS137" s="3"/>
      <c r="AT137" s="3"/>
      <c r="AU137" s="3"/>
      <c r="AV137" s="3"/>
      <c r="AW137" s="6"/>
      <c r="AX137" s="6"/>
    </row>
    <row r="138" spans="1:50" x14ac:dyDescent="0.2">
      <c r="A138" s="3" t="s">
        <v>238</v>
      </c>
      <c r="B138" s="3" t="s">
        <v>224</v>
      </c>
      <c r="C138" s="3">
        <v>71788959</v>
      </c>
      <c r="D138" s="3" t="s">
        <v>67</v>
      </c>
      <c r="E138" s="3" t="s">
        <v>53</v>
      </c>
      <c r="F138" s="3" t="s">
        <v>46</v>
      </c>
      <c r="G138" s="3" t="s">
        <v>46</v>
      </c>
      <c r="H138" s="3" t="s">
        <v>234</v>
      </c>
      <c r="I138" s="3" t="s">
        <v>181</v>
      </c>
      <c r="J138" s="20" t="s">
        <v>239</v>
      </c>
      <c r="K138" s="3">
        <v>0.27004716981132099</v>
      </c>
      <c r="L138" s="3">
        <v>424</v>
      </c>
      <c r="M138" s="3">
        <v>-2.9307657689486901</v>
      </c>
      <c r="N138" s="3">
        <v>2.9605907440225401E-3</v>
      </c>
      <c r="O138" s="3">
        <v>0</v>
      </c>
      <c r="P138" s="3">
        <v>1</v>
      </c>
      <c r="Q138" s="3">
        <v>81</v>
      </c>
      <c r="R138" s="3">
        <v>347</v>
      </c>
      <c r="S138" s="3">
        <v>0</v>
      </c>
      <c r="T138" s="3">
        <v>0</v>
      </c>
      <c r="U138" s="3">
        <v>0</v>
      </c>
      <c r="V138" s="3">
        <v>0</v>
      </c>
      <c r="W138" s="3">
        <v>0</v>
      </c>
      <c r="X138" s="3">
        <v>0</v>
      </c>
      <c r="Y138" s="3">
        <v>0</v>
      </c>
      <c r="Z138" s="3">
        <v>0</v>
      </c>
      <c r="AA138" s="3">
        <v>0</v>
      </c>
      <c r="AB138" s="3">
        <v>0</v>
      </c>
      <c r="AC138" s="3">
        <v>0</v>
      </c>
      <c r="AD138" s="3">
        <v>0.808857808857809</v>
      </c>
      <c r="AE138" s="3">
        <v>0.188811188811189</v>
      </c>
      <c r="AF138" s="3">
        <v>2.3310023310023301E-3</v>
      </c>
      <c r="AG138" s="3">
        <v>0</v>
      </c>
      <c r="AH138" s="3">
        <v>0</v>
      </c>
      <c r="AI138" s="3">
        <v>0</v>
      </c>
      <c r="AJ138" s="3">
        <v>0.90326340326340304</v>
      </c>
      <c r="AK138" s="3">
        <v>0</v>
      </c>
      <c r="AL138" s="3">
        <v>9.6736596736596694E-2</v>
      </c>
      <c r="AM138" s="3">
        <v>0</v>
      </c>
      <c r="AN138" s="3">
        <v>50</v>
      </c>
      <c r="AO138" s="3">
        <v>8.5250000000000004</v>
      </c>
      <c r="AP138" s="3">
        <v>9.2798833819242006</v>
      </c>
      <c r="AQ138" s="3"/>
      <c r="AR138" s="3"/>
      <c r="AS138" s="3"/>
      <c r="AT138" s="3"/>
      <c r="AU138" s="3"/>
      <c r="AV138" s="3"/>
      <c r="AW138" s="6"/>
      <c r="AX138" s="6"/>
    </row>
    <row r="139" spans="1:50" x14ac:dyDescent="0.2">
      <c r="A139" s="3" t="s">
        <v>240</v>
      </c>
      <c r="B139" s="3" t="s">
        <v>100</v>
      </c>
      <c r="C139" s="3">
        <v>62913669</v>
      </c>
      <c r="D139" s="3" t="s">
        <v>85</v>
      </c>
      <c r="E139" s="3" t="s">
        <v>53</v>
      </c>
      <c r="F139" s="3" t="s">
        <v>45</v>
      </c>
      <c r="G139" s="3" t="s">
        <v>45</v>
      </c>
      <c r="H139" s="3" t="s">
        <v>234</v>
      </c>
      <c r="I139" s="3" t="s">
        <v>181</v>
      </c>
      <c r="J139" s="20" t="s">
        <v>241</v>
      </c>
      <c r="K139" s="3">
        <v>2.47641509433962E-2</v>
      </c>
      <c r="L139" s="3">
        <v>424</v>
      </c>
      <c r="M139" s="3">
        <v>-7.3963655532146504</v>
      </c>
      <c r="N139" s="3">
        <v>7.8838678575498394E-3</v>
      </c>
      <c r="O139" s="3">
        <v>0</v>
      </c>
      <c r="P139" s="3">
        <v>0</v>
      </c>
      <c r="Q139" s="3">
        <v>0</v>
      </c>
      <c r="R139" s="3">
        <v>383</v>
      </c>
      <c r="S139" s="3">
        <v>0</v>
      </c>
      <c r="T139" s="3">
        <v>8</v>
      </c>
      <c r="U139" s="3">
        <v>0</v>
      </c>
      <c r="V139" s="3">
        <v>0</v>
      </c>
      <c r="W139" s="3">
        <v>0</v>
      </c>
      <c r="X139" s="3">
        <v>0</v>
      </c>
      <c r="Y139" s="3">
        <v>38</v>
      </c>
      <c r="Z139" s="3">
        <v>0</v>
      </c>
      <c r="AA139" s="3">
        <v>1.8648018648018599E-2</v>
      </c>
      <c r="AB139" s="3">
        <v>0</v>
      </c>
      <c r="AC139" s="3">
        <v>0</v>
      </c>
      <c r="AD139" s="3">
        <v>0.89277389277389296</v>
      </c>
      <c r="AE139" s="3">
        <v>0</v>
      </c>
      <c r="AF139" s="3">
        <v>0</v>
      </c>
      <c r="AG139" s="3">
        <v>0</v>
      </c>
      <c r="AH139" s="3">
        <v>8.8578088578088604E-2</v>
      </c>
      <c r="AI139" s="3">
        <v>0</v>
      </c>
      <c r="AJ139" s="3">
        <v>0.93706293706293697</v>
      </c>
      <c r="AK139" s="3">
        <v>0</v>
      </c>
      <c r="AL139" s="3">
        <v>0</v>
      </c>
      <c r="AM139" s="3">
        <v>6.2937062937062901E-2</v>
      </c>
      <c r="AN139" s="3">
        <v>4.875</v>
      </c>
      <c r="AO139" s="3">
        <v>7.6052631578947398</v>
      </c>
      <c r="AP139" s="3">
        <v>9.4894179894179906</v>
      </c>
      <c r="AQ139" s="3"/>
      <c r="AR139" s="3"/>
      <c r="AS139" s="3"/>
      <c r="AT139" s="3"/>
      <c r="AU139" s="3"/>
      <c r="AV139" s="3"/>
      <c r="AW139" s="6"/>
      <c r="AX139" s="6"/>
    </row>
    <row r="140" spans="1:50" x14ac:dyDescent="0.2">
      <c r="A140" s="3" t="s">
        <v>242</v>
      </c>
      <c r="B140" s="3" t="s">
        <v>70</v>
      </c>
      <c r="C140" s="3">
        <v>308051477</v>
      </c>
      <c r="D140" s="3" t="s">
        <v>67</v>
      </c>
      <c r="E140" s="3" t="s">
        <v>53</v>
      </c>
      <c r="F140" s="3" t="s">
        <v>46</v>
      </c>
      <c r="G140" s="3" t="s">
        <v>46</v>
      </c>
      <c r="H140" s="3" t="s">
        <v>234</v>
      </c>
      <c r="I140" s="3" t="s">
        <v>181</v>
      </c>
      <c r="J140" s="20" t="s">
        <v>243</v>
      </c>
      <c r="K140" s="3">
        <v>0.20636792452830199</v>
      </c>
      <c r="L140" s="3">
        <v>424</v>
      </c>
      <c r="M140" s="3">
        <v>-3.32793596937905</v>
      </c>
      <c r="N140" s="3">
        <v>2.9605907440225401E-3</v>
      </c>
      <c r="O140" s="3">
        <v>0</v>
      </c>
      <c r="P140" s="3">
        <v>1</v>
      </c>
      <c r="Q140" s="3">
        <v>72</v>
      </c>
      <c r="R140" s="3">
        <v>356</v>
      </c>
      <c r="S140" s="3">
        <v>0</v>
      </c>
      <c r="T140" s="3">
        <v>0</v>
      </c>
      <c r="U140" s="3">
        <v>0</v>
      </c>
      <c r="V140" s="3">
        <v>0</v>
      </c>
      <c r="W140" s="3">
        <v>0</v>
      </c>
      <c r="X140" s="3">
        <v>0</v>
      </c>
      <c r="Y140" s="3">
        <v>0</v>
      </c>
      <c r="Z140" s="3">
        <v>0</v>
      </c>
      <c r="AA140" s="3">
        <v>0</v>
      </c>
      <c r="AB140" s="3">
        <v>0</v>
      </c>
      <c r="AC140" s="3">
        <v>0</v>
      </c>
      <c r="AD140" s="3">
        <v>0.82983682983683005</v>
      </c>
      <c r="AE140" s="3">
        <v>0.16783216783216801</v>
      </c>
      <c r="AF140" s="3">
        <v>2.3310023310023301E-3</v>
      </c>
      <c r="AG140" s="3">
        <v>0</v>
      </c>
      <c r="AH140" s="3">
        <v>0</v>
      </c>
      <c r="AI140" s="3">
        <v>0</v>
      </c>
      <c r="AJ140" s="3">
        <v>0.91375291375291401</v>
      </c>
      <c r="AK140" s="3">
        <v>0</v>
      </c>
      <c r="AL140" s="3">
        <v>8.6247086247086296E-2</v>
      </c>
      <c r="AM140" s="3">
        <v>0</v>
      </c>
      <c r="AN140" s="3">
        <v>0</v>
      </c>
      <c r="AO140" s="3">
        <v>9.6857142857142904</v>
      </c>
      <c r="AP140" s="3">
        <v>9.1699716713880992</v>
      </c>
      <c r="AQ140" s="3"/>
      <c r="AR140" s="3"/>
      <c r="AS140" s="3"/>
      <c r="AT140" s="3"/>
      <c r="AU140" s="3"/>
      <c r="AV140" s="3"/>
      <c r="AW140" s="6"/>
      <c r="AX140" s="6"/>
    </row>
    <row r="141" spans="1:50" x14ac:dyDescent="0.2">
      <c r="A141" s="3" t="s">
        <v>319</v>
      </c>
      <c r="B141" s="3" t="s">
        <v>57</v>
      </c>
      <c r="C141" s="3">
        <v>84673435</v>
      </c>
      <c r="D141" s="3" t="s">
        <v>260</v>
      </c>
      <c r="E141" s="3" t="s">
        <v>53</v>
      </c>
      <c r="F141" s="3" t="s">
        <v>59</v>
      </c>
      <c r="G141" s="3" t="s">
        <v>59</v>
      </c>
      <c r="H141" s="3" t="s">
        <v>234</v>
      </c>
      <c r="I141" s="3" t="s">
        <v>259</v>
      </c>
      <c r="J141" s="20" t="s">
        <v>320</v>
      </c>
      <c r="K141" s="3">
        <v>1.3477088948786701E-3</v>
      </c>
      <c r="L141" s="3">
        <v>371</v>
      </c>
      <c r="M141" s="3">
        <v>-21.112680293195801</v>
      </c>
      <c r="N141" s="20" t="s">
        <v>321</v>
      </c>
      <c r="O141" s="3">
        <v>0</v>
      </c>
      <c r="P141" s="3">
        <v>0</v>
      </c>
      <c r="Q141" s="3">
        <v>0</v>
      </c>
      <c r="R141" s="3">
        <v>274</v>
      </c>
      <c r="S141" s="3">
        <v>0</v>
      </c>
      <c r="T141" s="3">
        <v>0</v>
      </c>
      <c r="U141" s="3">
        <v>6</v>
      </c>
      <c r="V141" s="3">
        <v>0</v>
      </c>
      <c r="W141" s="3">
        <v>0</v>
      </c>
      <c r="X141" s="3">
        <v>149</v>
      </c>
      <c r="Y141" s="3">
        <v>0</v>
      </c>
      <c r="Z141" s="3">
        <v>0</v>
      </c>
      <c r="AA141" s="3">
        <v>0</v>
      </c>
      <c r="AB141" s="3">
        <v>1.3986013986014E-2</v>
      </c>
      <c r="AC141" s="3">
        <v>0.34731934731934699</v>
      </c>
      <c r="AD141" s="3">
        <v>0.63869463869463905</v>
      </c>
      <c r="AE141" s="3">
        <v>0</v>
      </c>
      <c r="AF141" s="3">
        <v>0</v>
      </c>
      <c r="AG141" s="3">
        <v>0</v>
      </c>
      <c r="AH141" s="3">
        <v>0</v>
      </c>
      <c r="AI141" s="3">
        <v>0</v>
      </c>
      <c r="AJ141" s="3">
        <v>0.81235431235431199</v>
      </c>
      <c r="AK141" s="3">
        <v>0.18764568764568801</v>
      </c>
      <c r="AL141" s="3">
        <v>0</v>
      </c>
      <c r="AM141" s="3">
        <v>0</v>
      </c>
      <c r="AN141" s="3">
        <v>2.4</v>
      </c>
      <c r="AO141" s="3">
        <v>4.1742424242424203</v>
      </c>
      <c r="AP141" s="3">
        <v>3.3333333333333299</v>
      </c>
      <c r="AQ141" s="3"/>
      <c r="AR141" s="3"/>
      <c r="AS141" s="3"/>
      <c r="AT141" s="3"/>
      <c r="AU141" s="3"/>
      <c r="AV141" s="3"/>
      <c r="AW141" s="6"/>
      <c r="AX141" s="6"/>
    </row>
    <row r="142" spans="1:50" x14ac:dyDescent="0.2">
      <c r="A142" s="3" t="s">
        <v>322</v>
      </c>
      <c r="B142" s="3" t="s">
        <v>138</v>
      </c>
      <c r="C142" s="3">
        <v>507780718</v>
      </c>
      <c r="D142" s="3" t="s">
        <v>52</v>
      </c>
      <c r="E142" s="3" t="s">
        <v>46</v>
      </c>
      <c r="F142" s="3" t="s">
        <v>53</v>
      </c>
      <c r="G142" s="3" t="s">
        <v>53</v>
      </c>
      <c r="H142" s="3" t="s">
        <v>234</v>
      </c>
      <c r="I142" s="3" t="s">
        <v>259</v>
      </c>
      <c r="J142" s="20" t="s">
        <v>323</v>
      </c>
      <c r="K142" s="3">
        <v>6.7385444743934802E-3</v>
      </c>
      <c r="L142" s="3">
        <v>371</v>
      </c>
      <c r="M142" s="3">
        <v>-7.5718020525400798</v>
      </c>
      <c r="N142" s="3">
        <v>6.1953996642392505E-4</v>
      </c>
      <c r="O142" s="3">
        <v>0</v>
      </c>
      <c r="P142" s="3">
        <v>420</v>
      </c>
      <c r="Q142" s="3">
        <v>9</v>
      </c>
      <c r="R142" s="3">
        <v>0</v>
      </c>
      <c r="S142" s="3">
        <v>0</v>
      </c>
      <c r="T142" s="3">
        <v>0</v>
      </c>
      <c r="U142" s="3">
        <v>0</v>
      </c>
      <c r="V142" s="3">
        <v>0</v>
      </c>
      <c r="W142" s="3">
        <v>0</v>
      </c>
      <c r="X142" s="3">
        <v>0</v>
      </c>
      <c r="Y142" s="3">
        <v>0</v>
      </c>
      <c r="Z142" s="3">
        <v>0</v>
      </c>
      <c r="AA142" s="3">
        <v>0</v>
      </c>
      <c r="AB142" s="3">
        <v>0</v>
      </c>
      <c r="AC142" s="3">
        <v>0</v>
      </c>
      <c r="AD142" s="3">
        <v>0</v>
      </c>
      <c r="AE142" s="3">
        <v>2.0979020979021001E-2</v>
      </c>
      <c r="AF142" s="3">
        <v>0.97902097902097895</v>
      </c>
      <c r="AG142" s="3">
        <v>0</v>
      </c>
      <c r="AH142" s="3">
        <v>0</v>
      </c>
      <c r="AI142" s="3">
        <v>0</v>
      </c>
      <c r="AJ142" s="3">
        <v>1.04895104895105E-2</v>
      </c>
      <c r="AK142" s="3">
        <v>0</v>
      </c>
      <c r="AL142" s="3">
        <v>0.98951048951049003</v>
      </c>
      <c r="AM142" s="3">
        <v>0</v>
      </c>
      <c r="AN142" s="3" t="s">
        <v>55</v>
      </c>
      <c r="AO142" s="3">
        <v>5.75</v>
      </c>
      <c r="AP142" s="3">
        <v>3.5730027548209402</v>
      </c>
      <c r="AQ142" s="3"/>
      <c r="AR142" s="3"/>
      <c r="AS142" s="3"/>
      <c r="AT142" s="3"/>
      <c r="AU142" s="3"/>
      <c r="AV142" s="3"/>
      <c r="AW142" s="6"/>
      <c r="AX142" s="6"/>
    </row>
    <row r="143" spans="1:50" x14ac:dyDescent="0.2">
      <c r="A143" s="3" t="s">
        <v>324</v>
      </c>
      <c r="B143" s="3" t="s">
        <v>120</v>
      </c>
      <c r="C143" s="3">
        <v>478511163</v>
      </c>
      <c r="D143" s="3" t="s">
        <v>127</v>
      </c>
      <c r="E143" s="3" t="s">
        <v>45</v>
      </c>
      <c r="F143" s="3" t="s">
        <v>53</v>
      </c>
      <c r="G143" s="3" t="s">
        <v>53</v>
      </c>
      <c r="H143" s="3" t="s">
        <v>234</v>
      </c>
      <c r="I143" s="3" t="s">
        <v>259</v>
      </c>
      <c r="J143" s="20" t="s">
        <v>325</v>
      </c>
      <c r="K143" s="3">
        <v>1.3477088948786701E-3</v>
      </c>
      <c r="L143" s="3">
        <v>371</v>
      </c>
      <c r="M143" s="3">
        <v>-17.552845627521599</v>
      </c>
      <c r="N143" s="3">
        <v>6.0419947143586705E-4</v>
      </c>
      <c r="O143" s="3">
        <v>0</v>
      </c>
      <c r="P143" s="3">
        <v>0</v>
      </c>
      <c r="Q143" s="3">
        <v>0</v>
      </c>
      <c r="R143" s="3">
        <v>1</v>
      </c>
      <c r="S143" s="3">
        <v>0</v>
      </c>
      <c r="T143" s="3">
        <v>331</v>
      </c>
      <c r="U143" s="3">
        <v>0</v>
      </c>
      <c r="V143" s="3">
        <v>0</v>
      </c>
      <c r="W143" s="3">
        <v>0</v>
      </c>
      <c r="X143" s="3">
        <v>0</v>
      </c>
      <c r="Y143" s="3">
        <v>97</v>
      </c>
      <c r="Z143" s="3">
        <v>0</v>
      </c>
      <c r="AA143" s="3">
        <v>0.77156177156177197</v>
      </c>
      <c r="AB143" s="3">
        <v>0</v>
      </c>
      <c r="AC143" s="3">
        <v>0</v>
      </c>
      <c r="AD143" s="3">
        <v>2.3310023310023301E-3</v>
      </c>
      <c r="AE143" s="3">
        <v>0</v>
      </c>
      <c r="AF143" s="3">
        <v>0</v>
      </c>
      <c r="AG143" s="3">
        <v>0</v>
      </c>
      <c r="AH143" s="3">
        <v>0.226107226107226</v>
      </c>
      <c r="AI143" s="3">
        <v>0</v>
      </c>
      <c r="AJ143" s="3">
        <v>0.115384615384615</v>
      </c>
      <c r="AK143" s="3">
        <v>0</v>
      </c>
      <c r="AL143" s="3">
        <v>0</v>
      </c>
      <c r="AM143" s="3">
        <v>0.88461538461538503</v>
      </c>
      <c r="AN143" s="3">
        <v>5</v>
      </c>
      <c r="AO143" s="3">
        <v>4.2022471910112396</v>
      </c>
      <c r="AP143" s="3">
        <v>3.4306049822064102</v>
      </c>
      <c r="AQ143" s="3"/>
      <c r="AR143" s="3"/>
      <c r="AS143" s="3"/>
      <c r="AT143" s="3"/>
      <c r="AU143" s="3"/>
      <c r="AV143" s="3"/>
      <c r="AW143" s="6"/>
      <c r="AX143" s="6"/>
    </row>
    <row r="144" spans="1:50" x14ac:dyDescent="0.2">
      <c r="A144" s="3" t="s">
        <v>326</v>
      </c>
      <c r="B144" s="3" t="s">
        <v>123</v>
      </c>
      <c r="C144" s="3">
        <v>541253677</v>
      </c>
      <c r="D144" s="3" t="s">
        <v>52</v>
      </c>
      <c r="E144" s="3" t="s">
        <v>53</v>
      </c>
      <c r="F144" s="3" t="s">
        <v>46</v>
      </c>
      <c r="G144" s="3" t="s">
        <v>53</v>
      </c>
      <c r="H144" s="3" t="s">
        <v>234</v>
      </c>
      <c r="I144" s="3" t="s">
        <v>259</v>
      </c>
      <c r="J144" s="20" t="s">
        <v>327</v>
      </c>
      <c r="K144" s="3">
        <v>1.3477088948786701E-3</v>
      </c>
      <c r="L144" s="3">
        <v>371</v>
      </c>
      <c r="M144" s="3">
        <v>-15.870338701068601</v>
      </c>
      <c r="N144" s="3">
        <v>5.61338600007159E-3</v>
      </c>
      <c r="O144" s="3">
        <v>0</v>
      </c>
      <c r="P144" s="3">
        <v>262</v>
      </c>
      <c r="Q144" s="3">
        <v>146</v>
      </c>
      <c r="R144" s="3">
        <v>21</v>
      </c>
      <c r="S144" s="3">
        <v>0</v>
      </c>
      <c r="T144" s="3">
        <v>0</v>
      </c>
      <c r="U144" s="3">
        <v>0</v>
      </c>
      <c r="V144" s="3">
        <v>0</v>
      </c>
      <c r="W144" s="3">
        <v>0</v>
      </c>
      <c r="X144" s="3">
        <v>0</v>
      </c>
      <c r="Y144" s="3">
        <v>0</v>
      </c>
      <c r="Z144" s="3">
        <v>0</v>
      </c>
      <c r="AA144" s="3">
        <v>0</v>
      </c>
      <c r="AB144" s="3">
        <v>0</v>
      </c>
      <c r="AC144" s="3">
        <v>0</v>
      </c>
      <c r="AD144" s="3">
        <v>4.8951048951049E-2</v>
      </c>
      <c r="AE144" s="3">
        <v>0.34032634032634002</v>
      </c>
      <c r="AF144" s="3">
        <v>0.61072261072261103</v>
      </c>
      <c r="AG144" s="3">
        <v>0</v>
      </c>
      <c r="AH144" s="3">
        <v>0</v>
      </c>
      <c r="AI144" s="3">
        <v>0</v>
      </c>
      <c r="AJ144" s="3">
        <v>0.21911421911421899</v>
      </c>
      <c r="AK144" s="3">
        <v>0</v>
      </c>
      <c r="AL144" s="3">
        <v>0.78088578088578098</v>
      </c>
      <c r="AM144" s="3">
        <v>0</v>
      </c>
      <c r="AN144" s="3">
        <v>2.3157894736842102</v>
      </c>
      <c r="AO144" s="3">
        <v>3.7734375</v>
      </c>
      <c r="AP144" s="3">
        <v>3.6428571428571401</v>
      </c>
      <c r="AQ144" s="3"/>
      <c r="AR144" s="3"/>
      <c r="AS144" s="3"/>
      <c r="AT144" s="3"/>
      <c r="AU144" s="3"/>
      <c r="AV144" s="3"/>
      <c r="AW144" s="6"/>
      <c r="AX144" s="6"/>
    </row>
    <row r="145" spans="1:50" x14ac:dyDescent="0.2">
      <c r="A145" s="3" t="s">
        <v>328</v>
      </c>
      <c r="B145" s="3" t="s">
        <v>81</v>
      </c>
      <c r="C145" s="3">
        <v>397784395</v>
      </c>
      <c r="D145" s="3" t="s">
        <v>58</v>
      </c>
      <c r="E145" s="3" t="s">
        <v>46</v>
      </c>
      <c r="F145" s="3" t="s">
        <v>59</v>
      </c>
      <c r="G145" s="3" t="s">
        <v>59</v>
      </c>
      <c r="H145" s="3" t="s">
        <v>234</v>
      </c>
      <c r="I145" s="3" t="s">
        <v>259</v>
      </c>
      <c r="J145" s="20" t="s">
        <v>329</v>
      </c>
      <c r="K145" s="3">
        <v>6.7385444743935305E-2</v>
      </c>
      <c r="L145" s="3">
        <v>371</v>
      </c>
      <c r="M145" s="3">
        <v>-3.06359859668853</v>
      </c>
      <c r="N145" s="20" t="s">
        <v>330</v>
      </c>
      <c r="O145" s="3">
        <v>4.8019639933798102</v>
      </c>
      <c r="P145" s="3">
        <v>321</v>
      </c>
      <c r="Q145" s="3">
        <v>0</v>
      </c>
      <c r="R145" s="3">
        <v>0</v>
      </c>
      <c r="S145" s="3">
        <v>0</v>
      </c>
      <c r="T145" s="3">
        <v>0</v>
      </c>
      <c r="U145" s="3">
        <v>6</v>
      </c>
      <c r="V145" s="3">
        <v>102</v>
      </c>
      <c r="W145" s="3">
        <v>0</v>
      </c>
      <c r="X145" s="3">
        <v>0</v>
      </c>
      <c r="Y145" s="3">
        <v>0</v>
      </c>
      <c r="Z145" s="3">
        <v>0</v>
      </c>
      <c r="AA145" s="3">
        <v>0</v>
      </c>
      <c r="AB145" s="3">
        <v>1.3986013986014E-2</v>
      </c>
      <c r="AC145" s="3">
        <v>0</v>
      </c>
      <c r="AD145" s="3">
        <v>0</v>
      </c>
      <c r="AE145" s="3">
        <v>0</v>
      </c>
      <c r="AF145" s="3">
        <v>0.74825174825174801</v>
      </c>
      <c r="AG145" s="3">
        <v>0</v>
      </c>
      <c r="AH145" s="3">
        <v>0</v>
      </c>
      <c r="AI145" s="3">
        <v>0.23776223776223801</v>
      </c>
      <c r="AJ145" s="3">
        <v>0</v>
      </c>
      <c r="AK145" s="3">
        <v>0.132867132867133</v>
      </c>
      <c r="AL145" s="3">
        <v>0.86713286713286697</v>
      </c>
      <c r="AM145" s="3">
        <v>0</v>
      </c>
      <c r="AN145" s="3">
        <v>0.66666666666666696</v>
      </c>
      <c r="AO145" s="3">
        <v>3.36263736263736</v>
      </c>
      <c r="AP145" s="3">
        <v>3.7364620938628201</v>
      </c>
      <c r="AQ145" s="3" t="s">
        <v>806</v>
      </c>
      <c r="AR145" s="3" t="s">
        <v>635</v>
      </c>
      <c r="AS145" s="3" t="s">
        <v>913</v>
      </c>
      <c r="AT145" s="3"/>
      <c r="AU145" s="3"/>
      <c r="AV145" s="3"/>
      <c r="AW145" s="6"/>
      <c r="AX145" s="6"/>
    </row>
    <row r="146" spans="1:50" ht="84" x14ac:dyDescent="0.2">
      <c r="A146" s="3" t="s">
        <v>331</v>
      </c>
      <c r="B146" s="3" t="s">
        <v>113</v>
      </c>
      <c r="C146" s="3">
        <v>222819554</v>
      </c>
      <c r="D146" s="3" t="s">
        <v>156</v>
      </c>
      <c r="E146" s="3" t="s">
        <v>59</v>
      </c>
      <c r="F146" s="3" t="s">
        <v>53</v>
      </c>
      <c r="G146" s="3" t="s">
        <v>53</v>
      </c>
      <c r="H146" s="3" t="s">
        <v>234</v>
      </c>
      <c r="I146" s="3" t="s">
        <v>259</v>
      </c>
      <c r="J146" s="20" t="s">
        <v>332</v>
      </c>
      <c r="K146" s="3">
        <v>6.1994609164420497E-2</v>
      </c>
      <c r="L146" s="3">
        <v>371</v>
      </c>
      <c r="M146" s="3">
        <v>-4.0256717022340096</v>
      </c>
      <c r="N146" s="20" t="s">
        <v>333</v>
      </c>
      <c r="O146" s="3">
        <v>0.12266360395753501</v>
      </c>
      <c r="P146" s="3">
        <v>0</v>
      </c>
      <c r="Q146" s="3">
        <v>0</v>
      </c>
      <c r="R146" s="3">
        <v>63</v>
      </c>
      <c r="S146" s="3">
        <v>0</v>
      </c>
      <c r="T146" s="3">
        <v>0</v>
      </c>
      <c r="U146" s="3">
        <v>190</v>
      </c>
      <c r="V146" s="3">
        <v>0</v>
      </c>
      <c r="W146" s="3">
        <v>0</v>
      </c>
      <c r="X146" s="3">
        <v>176</v>
      </c>
      <c r="Y146" s="3">
        <v>0</v>
      </c>
      <c r="Z146" s="3">
        <v>0</v>
      </c>
      <c r="AA146" s="3">
        <v>0</v>
      </c>
      <c r="AB146" s="3">
        <v>0.44289044289044299</v>
      </c>
      <c r="AC146" s="3">
        <v>0.41025641025641002</v>
      </c>
      <c r="AD146" s="3">
        <v>0.14685314685314699</v>
      </c>
      <c r="AE146" s="3">
        <v>0</v>
      </c>
      <c r="AF146" s="3">
        <v>0</v>
      </c>
      <c r="AG146" s="3">
        <v>0</v>
      </c>
      <c r="AH146" s="3">
        <v>0</v>
      </c>
      <c r="AI146" s="3">
        <v>0</v>
      </c>
      <c r="AJ146" s="3">
        <v>0.351981351981352</v>
      </c>
      <c r="AK146" s="3">
        <v>0.64801864801864795</v>
      </c>
      <c r="AL146" s="3">
        <v>0</v>
      </c>
      <c r="AM146" s="3">
        <v>0</v>
      </c>
      <c r="AN146" s="3">
        <v>2.6226415094339601</v>
      </c>
      <c r="AO146" s="3">
        <v>4.8653846153846096</v>
      </c>
      <c r="AP146" s="3">
        <v>2.7469135802469098</v>
      </c>
      <c r="AQ146" s="3" t="s">
        <v>807</v>
      </c>
      <c r="AR146" s="3" t="s">
        <v>808</v>
      </c>
      <c r="AS146" s="3" t="s">
        <v>913</v>
      </c>
      <c r="AT146" s="3"/>
      <c r="AU146" s="3"/>
      <c r="AV146" s="3"/>
      <c r="AW146" s="10" t="s">
        <v>809</v>
      </c>
      <c r="AX146" s="6" t="s">
        <v>810</v>
      </c>
    </row>
    <row r="147" spans="1:50" x14ac:dyDescent="0.2">
      <c r="A147" s="3" t="s">
        <v>402</v>
      </c>
      <c r="B147" s="3" t="s">
        <v>120</v>
      </c>
      <c r="C147" s="3">
        <v>303741566</v>
      </c>
      <c r="D147" s="3" t="s">
        <v>139</v>
      </c>
      <c r="E147" s="3" t="s">
        <v>46</v>
      </c>
      <c r="F147" s="3" t="s">
        <v>45</v>
      </c>
      <c r="G147" s="3" t="s">
        <v>45</v>
      </c>
      <c r="H147" s="3" t="s">
        <v>234</v>
      </c>
      <c r="I147" s="3" t="s">
        <v>369</v>
      </c>
      <c r="J147" s="20" t="s">
        <v>403</v>
      </c>
      <c r="K147" s="3">
        <v>0.19417475728155301</v>
      </c>
      <c r="L147" s="3">
        <v>309</v>
      </c>
      <c r="M147" s="3">
        <v>-5.3232901895082003</v>
      </c>
      <c r="N147" s="3">
        <v>5.5508530523992402E-4</v>
      </c>
      <c r="O147" s="3">
        <v>0</v>
      </c>
      <c r="P147" s="3">
        <v>305</v>
      </c>
      <c r="Q147" s="3">
        <v>0</v>
      </c>
      <c r="R147" s="3">
        <v>0</v>
      </c>
      <c r="S147" s="3">
        <v>58</v>
      </c>
      <c r="T147" s="3">
        <v>1</v>
      </c>
      <c r="U147" s="3">
        <v>0</v>
      </c>
      <c r="V147" s="3">
        <v>0</v>
      </c>
      <c r="W147" s="3">
        <v>0</v>
      </c>
      <c r="X147" s="3">
        <v>0</v>
      </c>
      <c r="Y147" s="3">
        <v>0</v>
      </c>
      <c r="Z147" s="3">
        <v>0</v>
      </c>
      <c r="AA147" s="3">
        <v>2.7472527472527501E-3</v>
      </c>
      <c r="AB147" s="3">
        <v>0</v>
      </c>
      <c r="AC147" s="3">
        <v>0</v>
      </c>
      <c r="AD147" s="3">
        <v>0</v>
      </c>
      <c r="AE147" s="3">
        <v>0</v>
      </c>
      <c r="AF147" s="3">
        <v>0.83791208791208804</v>
      </c>
      <c r="AG147" s="3">
        <v>0.159340659340659</v>
      </c>
      <c r="AH147" s="3">
        <v>0</v>
      </c>
      <c r="AI147" s="3">
        <v>0</v>
      </c>
      <c r="AJ147" s="3">
        <v>0</v>
      </c>
      <c r="AK147" s="3">
        <v>0</v>
      </c>
      <c r="AL147" s="3">
        <v>0.91758241758241799</v>
      </c>
      <c r="AM147" s="3">
        <v>8.2417582417582402E-2</v>
      </c>
      <c r="AN147" s="3">
        <v>10</v>
      </c>
      <c r="AO147" s="3">
        <v>13.98</v>
      </c>
      <c r="AP147" s="3">
        <v>14.135658914728699</v>
      </c>
      <c r="AQ147" s="3" t="s">
        <v>914</v>
      </c>
      <c r="AR147" s="3"/>
      <c r="AS147" s="3" t="s">
        <v>635</v>
      </c>
      <c r="AT147" s="3" t="s">
        <v>636</v>
      </c>
      <c r="AU147" s="4">
        <v>1</v>
      </c>
      <c r="AV147" s="5">
        <v>0.98509999999999998</v>
      </c>
      <c r="AW147" s="6"/>
      <c r="AX147" s="6"/>
    </row>
    <row r="148" spans="1:50" ht="182" x14ac:dyDescent="0.2">
      <c r="A148" s="3" t="s">
        <v>404</v>
      </c>
      <c r="B148" s="3" t="s">
        <v>100</v>
      </c>
      <c r="C148" s="3">
        <v>120261602</v>
      </c>
      <c r="D148" s="3" t="s">
        <v>71</v>
      </c>
      <c r="E148" s="3" t="s">
        <v>45</v>
      </c>
      <c r="F148" s="3" t="s">
        <v>59</v>
      </c>
      <c r="G148" s="3" t="s">
        <v>59</v>
      </c>
      <c r="H148" s="3" t="s">
        <v>234</v>
      </c>
      <c r="I148" s="3" t="s">
        <v>369</v>
      </c>
      <c r="J148" s="20" t="s">
        <v>405</v>
      </c>
      <c r="K148" s="3">
        <v>6.47249190938515E-3</v>
      </c>
      <c r="L148" s="3">
        <v>309</v>
      </c>
      <c r="M148" s="3">
        <v>-32.214873776964197</v>
      </c>
      <c r="N148" s="20" t="s">
        <v>406</v>
      </c>
      <c r="O148" s="3">
        <v>0</v>
      </c>
      <c r="P148" s="3">
        <v>0</v>
      </c>
      <c r="Q148" s="3">
        <v>0</v>
      </c>
      <c r="R148" s="3">
        <v>0</v>
      </c>
      <c r="S148" s="3">
        <v>0</v>
      </c>
      <c r="T148" s="3">
        <v>231</v>
      </c>
      <c r="U148" s="3">
        <v>17</v>
      </c>
      <c r="V148" s="3">
        <v>0</v>
      </c>
      <c r="W148" s="3">
        <v>116</v>
      </c>
      <c r="X148" s="3">
        <v>0</v>
      </c>
      <c r="Y148" s="3">
        <v>0</v>
      </c>
      <c r="Z148" s="3">
        <v>0.31868131868131899</v>
      </c>
      <c r="AA148" s="3">
        <v>0.63461538461538503</v>
      </c>
      <c r="AB148" s="3">
        <v>4.6703296703296697E-2</v>
      </c>
      <c r="AC148" s="3">
        <v>0</v>
      </c>
      <c r="AD148" s="3">
        <v>0</v>
      </c>
      <c r="AE148" s="3">
        <v>0</v>
      </c>
      <c r="AF148" s="3">
        <v>0</v>
      </c>
      <c r="AG148" s="3">
        <v>0</v>
      </c>
      <c r="AH148" s="3">
        <v>0</v>
      </c>
      <c r="AI148" s="3">
        <v>0</v>
      </c>
      <c r="AJ148" s="3">
        <v>0</v>
      </c>
      <c r="AK148" s="3">
        <v>0.20604395604395601</v>
      </c>
      <c r="AL148" s="3">
        <v>0</v>
      </c>
      <c r="AM148" s="3">
        <v>0.79395604395604402</v>
      </c>
      <c r="AN148" s="3">
        <v>11.6</v>
      </c>
      <c r="AO148" s="3">
        <v>14.783505154639199</v>
      </c>
      <c r="AP148" s="3">
        <v>13.9492385786802</v>
      </c>
      <c r="AQ148" s="3" t="s">
        <v>914</v>
      </c>
      <c r="AR148" s="3"/>
      <c r="AS148" s="3" t="s">
        <v>811</v>
      </c>
      <c r="AT148" s="3" t="s">
        <v>636</v>
      </c>
      <c r="AU148" s="3" t="s">
        <v>812</v>
      </c>
      <c r="AV148" s="3" t="s">
        <v>813</v>
      </c>
      <c r="AW148" s="12" t="s">
        <v>814</v>
      </c>
      <c r="AX148" s="6" t="s">
        <v>929</v>
      </c>
    </row>
    <row r="149" spans="1:50" ht="56" x14ac:dyDescent="0.2">
      <c r="A149" s="3" t="s">
        <v>549</v>
      </c>
      <c r="B149" s="3" t="s">
        <v>57</v>
      </c>
      <c r="C149" s="3">
        <v>497263053</v>
      </c>
      <c r="D149" s="3" t="s">
        <v>52</v>
      </c>
      <c r="E149" s="3" t="s">
        <v>46</v>
      </c>
      <c r="F149" s="3" t="s">
        <v>53</v>
      </c>
      <c r="G149" s="3" t="s">
        <v>53</v>
      </c>
      <c r="H149" s="3" t="s">
        <v>234</v>
      </c>
      <c r="I149" s="3" t="s">
        <v>519</v>
      </c>
      <c r="J149" s="20" t="s">
        <v>550</v>
      </c>
      <c r="K149" s="3">
        <v>7.66871165644167E-3</v>
      </c>
      <c r="L149" s="3">
        <v>326</v>
      </c>
      <c r="M149" s="3">
        <v>-11.267050699438</v>
      </c>
      <c r="N149" s="20" t="s">
        <v>551</v>
      </c>
      <c r="O149" s="3">
        <v>0</v>
      </c>
      <c r="P149" s="3">
        <v>335</v>
      </c>
      <c r="Q149" s="3">
        <v>22</v>
      </c>
      <c r="R149" s="3">
        <v>0</v>
      </c>
      <c r="S149" s="3">
        <v>0</v>
      </c>
      <c r="T149" s="3">
        <v>0</v>
      </c>
      <c r="U149" s="3">
        <v>0</v>
      </c>
      <c r="V149" s="3">
        <v>0</v>
      </c>
      <c r="W149" s="3">
        <v>0</v>
      </c>
      <c r="X149" s="3">
        <v>0</v>
      </c>
      <c r="Y149" s="3">
        <v>0</v>
      </c>
      <c r="Z149" s="3">
        <v>0</v>
      </c>
      <c r="AA149" s="3">
        <v>0</v>
      </c>
      <c r="AB149" s="3">
        <v>0</v>
      </c>
      <c r="AC149" s="3">
        <v>0</v>
      </c>
      <c r="AD149" s="3">
        <v>0</v>
      </c>
      <c r="AE149" s="3">
        <v>6.1624649859944002E-2</v>
      </c>
      <c r="AF149" s="3">
        <v>0.93837535014005602</v>
      </c>
      <c r="AG149" s="3">
        <v>0</v>
      </c>
      <c r="AH149" s="3">
        <v>0</v>
      </c>
      <c r="AI149" s="3">
        <v>0</v>
      </c>
      <c r="AJ149" s="3">
        <v>3.0812324929972001E-2</v>
      </c>
      <c r="AK149" s="3">
        <v>0</v>
      </c>
      <c r="AL149" s="3">
        <v>0.96918767507002801</v>
      </c>
      <c r="AM149" s="3">
        <v>0</v>
      </c>
      <c r="AN149" s="3" t="s">
        <v>55</v>
      </c>
      <c r="AO149" s="3">
        <v>4.4000000000000004</v>
      </c>
      <c r="AP149" s="3">
        <v>5.2156862745097996</v>
      </c>
      <c r="AQ149" s="3" t="s">
        <v>815</v>
      </c>
      <c r="AR149" s="3" t="s">
        <v>816</v>
      </c>
      <c r="AS149" s="3" t="s">
        <v>817</v>
      </c>
      <c r="AT149" s="3" t="s">
        <v>636</v>
      </c>
      <c r="AU149" s="4">
        <v>0.93</v>
      </c>
      <c r="AV149" s="5">
        <v>0.98939999999999995</v>
      </c>
      <c r="AW149" s="10" t="s">
        <v>818</v>
      </c>
      <c r="AX149" s="6" t="s">
        <v>819</v>
      </c>
    </row>
    <row r="150" spans="1:50" x14ac:dyDescent="0.2">
      <c r="A150" s="3" t="s">
        <v>552</v>
      </c>
      <c r="B150" s="3" t="s">
        <v>138</v>
      </c>
      <c r="C150" s="3">
        <v>511030438</v>
      </c>
      <c r="D150" s="3" t="s">
        <v>127</v>
      </c>
      <c r="E150" s="3" t="s">
        <v>45</v>
      </c>
      <c r="F150" s="3" t="s">
        <v>53</v>
      </c>
      <c r="G150" s="3" t="s">
        <v>53</v>
      </c>
      <c r="H150" s="3" t="s">
        <v>234</v>
      </c>
      <c r="I150" s="3" t="s">
        <v>519</v>
      </c>
      <c r="J150" s="20" t="s">
        <v>553</v>
      </c>
      <c r="K150" s="3">
        <v>2.6073619631901801E-2</v>
      </c>
      <c r="L150" s="3">
        <v>326</v>
      </c>
      <c r="M150" s="3">
        <v>-5.3440482234478397</v>
      </c>
      <c r="N150" s="20" t="s">
        <v>554</v>
      </c>
      <c r="O150" s="3">
        <v>1.2415251457922101</v>
      </c>
      <c r="P150" s="3">
        <v>0</v>
      </c>
      <c r="Q150" s="3">
        <v>0</v>
      </c>
      <c r="R150" s="3">
        <v>9</v>
      </c>
      <c r="S150" s="3">
        <v>0</v>
      </c>
      <c r="T150" s="3">
        <v>270</v>
      </c>
      <c r="U150" s="3">
        <v>0</v>
      </c>
      <c r="V150" s="3">
        <v>0</v>
      </c>
      <c r="W150" s="3">
        <v>0</v>
      </c>
      <c r="X150" s="3">
        <v>0</v>
      </c>
      <c r="Y150" s="3">
        <v>78</v>
      </c>
      <c r="Z150" s="3">
        <v>0</v>
      </c>
      <c r="AA150" s="3">
        <v>0.75630252100840301</v>
      </c>
      <c r="AB150" s="3">
        <v>0</v>
      </c>
      <c r="AC150" s="3">
        <v>0</v>
      </c>
      <c r="AD150" s="3">
        <v>2.5210084033613401E-2</v>
      </c>
      <c r="AE150" s="3">
        <v>0</v>
      </c>
      <c r="AF150" s="3">
        <v>0</v>
      </c>
      <c r="AG150" s="3">
        <v>0</v>
      </c>
      <c r="AH150" s="3">
        <v>0.218487394957983</v>
      </c>
      <c r="AI150" s="3">
        <v>0</v>
      </c>
      <c r="AJ150" s="3">
        <v>0.13445378151260501</v>
      </c>
      <c r="AK150" s="3">
        <v>0</v>
      </c>
      <c r="AL150" s="3">
        <v>0</v>
      </c>
      <c r="AM150" s="3">
        <v>0.86554621848739499</v>
      </c>
      <c r="AN150" s="3">
        <v>2.1111111111111098</v>
      </c>
      <c r="AO150" s="3">
        <v>4.9859154929577496</v>
      </c>
      <c r="AP150" s="3">
        <v>5.3292682926829302</v>
      </c>
      <c r="AQ150" s="3"/>
      <c r="AR150" s="3"/>
      <c r="AS150" s="3"/>
      <c r="AT150" s="3"/>
      <c r="AU150" s="3"/>
      <c r="AV150" s="3"/>
      <c r="AW150" s="6"/>
      <c r="AX150" s="6"/>
    </row>
    <row r="151" spans="1:50" x14ac:dyDescent="0.2">
      <c r="A151" s="3" t="s">
        <v>555</v>
      </c>
      <c r="B151" s="3" t="s">
        <v>224</v>
      </c>
      <c r="C151" s="3">
        <v>24005972</v>
      </c>
      <c r="D151" s="3" t="s">
        <v>85</v>
      </c>
      <c r="E151" s="3" t="s">
        <v>53</v>
      </c>
      <c r="F151" s="3" t="s">
        <v>45</v>
      </c>
      <c r="G151" s="3" t="s">
        <v>45</v>
      </c>
      <c r="H151" s="3" t="s">
        <v>234</v>
      </c>
      <c r="I151" s="3" t="s">
        <v>519</v>
      </c>
      <c r="J151" s="20" t="s">
        <v>556</v>
      </c>
      <c r="K151" s="3">
        <v>1.5337423312883299E-3</v>
      </c>
      <c r="L151" s="3">
        <v>326</v>
      </c>
      <c r="M151" s="3">
        <v>-59.195465243607899</v>
      </c>
      <c r="N151" s="20" t="s">
        <v>557</v>
      </c>
      <c r="O151" s="3">
        <v>3.3871761603527601</v>
      </c>
      <c r="P151" s="3">
        <v>0</v>
      </c>
      <c r="Q151" s="3">
        <v>0</v>
      </c>
      <c r="R151" s="3">
        <v>333</v>
      </c>
      <c r="S151" s="3">
        <v>0</v>
      </c>
      <c r="T151" s="3">
        <v>1</v>
      </c>
      <c r="U151" s="3">
        <v>0</v>
      </c>
      <c r="V151" s="3">
        <v>0</v>
      </c>
      <c r="W151" s="3">
        <v>0</v>
      </c>
      <c r="X151" s="3">
        <v>0</v>
      </c>
      <c r="Y151" s="3">
        <v>23</v>
      </c>
      <c r="Z151" s="3">
        <v>0</v>
      </c>
      <c r="AA151" s="3">
        <v>2.80112044817927E-3</v>
      </c>
      <c r="AB151" s="3">
        <v>0</v>
      </c>
      <c r="AC151" s="3">
        <v>0</v>
      </c>
      <c r="AD151" s="3">
        <v>0.93277310924369705</v>
      </c>
      <c r="AE151" s="3">
        <v>0</v>
      </c>
      <c r="AF151" s="3">
        <v>0</v>
      </c>
      <c r="AG151" s="3">
        <v>0</v>
      </c>
      <c r="AH151" s="3">
        <v>6.4425770308123201E-2</v>
      </c>
      <c r="AI151" s="3">
        <v>0</v>
      </c>
      <c r="AJ151" s="3">
        <v>0.96498599439775901</v>
      </c>
      <c r="AK151" s="3">
        <v>0</v>
      </c>
      <c r="AL151" s="3">
        <v>0</v>
      </c>
      <c r="AM151" s="3">
        <v>3.5014005602240897E-2</v>
      </c>
      <c r="AN151" s="3">
        <v>0</v>
      </c>
      <c r="AO151" s="3">
        <v>4.3499999999999996</v>
      </c>
      <c r="AP151" s="3">
        <v>5.2360655737704898</v>
      </c>
      <c r="AQ151" s="3"/>
      <c r="AR151" s="3"/>
      <c r="AS151" s="3"/>
      <c r="AT151" s="3"/>
      <c r="AU151" s="3"/>
      <c r="AV151" s="3"/>
      <c r="AW151" s="6"/>
      <c r="AX151" s="6"/>
    </row>
    <row r="152" spans="1:50" ht="112" x14ac:dyDescent="0.2">
      <c r="A152" s="3" t="s">
        <v>558</v>
      </c>
      <c r="B152" s="3" t="s">
        <v>66</v>
      </c>
      <c r="C152" s="3">
        <v>79130992</v>
      </c>
      <c r="D152" s="3" t="s">
        <v>109</v>
      </c>
      <c r="E152" s="3" t="s">
        <v>45</v>
      </c>
      <c r="F152" s="3" t="s">
        <v>59</v>
      </c>
      <c r="G152" s="3" t="s">
        <v>45</v>
      </c>
      <c r="H152" s="3" t="s">
        <v>234</v>
      </c>
      <c r="I152" s="3" t="s">
        <v>519</v>
      </c>
      <c r="J152" s="20" t="s">
        <v>559</v>
      </c>
      <c r="K152" s="3">
        <v>3.0674846625766698E-3</v>
      </c>
      <c r="L152" s="3">
        <v>326</v>
      </c>
      <c r="M152" s="3">
        <v>-21.6233077923441</v>
      </c>
      <c r="N152" s="20" t="s">
        <v>560</v>
      </c>
      <c r="O152" s="20" t="s">
        <v>561</v>
      </c>
      <c r="P152" s="3">
        <v>0</v>
      </c>
      <c r="Q152" s="3">
        <v>0</v>
      </c>
      <c r="R152" s="3">
        <v>0</v>
      </c>
      <c r="S152" s="3">
        <v>0</v>
      </c>
      <c r="T152" s="3">
        <v>103</v>
      </c>
      <c r="U152" s="3">
        <v>162</v>
      </c>
      <c r="V152" s="3">
        <v>0</v>
      </c>
      <c r="W152" s="3">
        <v>92</v>
      </c>
      <c r="X152" s="3">
        <v>0</v>
      </c>
      <c r="Y152" s="3">
        <v>0</v>
      </c>
      <c r="Z152" s="3">
        <v>0.25770308123249303</v>
      </c>
      <c r="AA152" s="3">
        <v>0.28851540616246502</v>
      </c>
      <c r="AB152" s="3">
        <v>0.45378151260504201</v>
      </c>
      <c r="AC152" s="3">
        <v>0</v>
      </c>
      <c r="AD152" s="3">
        <v>0</v>
      </c>
      <c r="AE152" s="3">
        <v>0</v>
      </c>
      <c r="AF152" s="3">
        <v>0</v>
      </c>
      <c r="AG152" s="3">
        <v>0</v>
      </c>
      <c r="AH152" s="3">
        <v>0</v>
      </c>
      <c r="AI152" s="3">
        <v>0</v>
      </c>
      <c r="AJ152" s="3">
        <v>0</v>
      </c>
      <c r="AK152" s="3">
        <v>0.582633053221288</v>
      </c>
      <c r="AL152" s="3">
        <v>0</v>
      </c>
      <c r="AM152" s="3">
        <v>0.417366946778711</v>
      </c>
      <c r="AN152" s="3">
        <v>4.6210526315789497</v>
      </c>
      <c r="AO152" s="3">
        <v>5.4216867469879499</v>
      </c>
      <c r="AP152" s="3">
        <v>5.3716216216216202</v>
      </c>
      <c r="AQ152" s="3" t="s">
        <v>820</v>
      </c>
      <c r="AR152" s="3" t="s">
        <v>821</v>
      </c>
      <c r="AS152" s="3" t="s">
        <v>822</v>
      </c>
      <c r="AT152" s="3" t="s">
        <v>636</v>
      </c>
      <c r="AU152" s="4">
        <v>1</v>
      </c>
      <c r="AV152" s="5">
        <v>0.96020000000000005</v>
      </c>
      <c r="AW152" s="8" t="s">
        <v>823</v>
      </c>
      <c r="AX152" s="6" t="s">
        <v>824</v>
      </c>
    </row>
    <row r="153" spans="1:50" ht="42" x14ac:dyDescent="0.2">
      <c r="A153" s="3" t="s">
        <v>562</v>
      </c>
      <c r="B153" s="3" t="s">
        <v>100</v>
      </c>
      <c r="C153" s="3">
        <v>134093949</v>
      </c>
      <c r="D153" s="3" t="s">
        <v>71</v>
      </c>
      <c r="E153" s="3" t="s">
        <v>45</v>
      </c>
      <c r="F153" s="3" t="s">
        <v>59</v>
      </c>
      <c r="G153" s="3" t="s">
        <v>59</v>
      </c>
      <c r="H153" s="3" t="s">
        <v>234</v>
      </c>
      <c r="I153" s="3" t="s">
        <v>519</v>
      </c>
      <c r="J153" s="20" t="s">
        <v>563</v>
      </c>
      <c r="K153" s="3">
        <v>3.0674846625766698E-3</v>
      </c>
      <c r="L153" s="3">
        <v>326</v>
      </c>
      <c r="M153" s="3">
        <v>-21.49562057843</v>
      </c>
      <c r="N153" s="20" t="s">
        <v>564</v>
      </c>
      <c r="O153" s="3">
        <v>0</v>
      </c>
      <c r="P153" s="3">
        <v>0</v>
      </c>
      <c r="Q153" s="3">
        <v>0</v>
      </c>
      <c r="R153" s="3">
        <v>0</v>
      </c>
      <c r="S153" s="3">
        <v>0</v>
      </c>
      <c r="T153" s="3">
        <v>76</v>
      </c>
      <c r="U153" s="3">
        <v>46</v>
      </c>
      <c r="V153" s="3">
        <v>0</v>
      </c>
      <c r="W153" s="3">
        <v>235</v>
      </c>
      <c r="X153" s="3">
        <v>0</v>
      </c>
      <c r="Y153" s="3">
        <v>0</v>
      </c>
      <c r="Z153" s="3">
        <v>0.65826330532212896</v>
      </c>
      <c r="AA153" s="3">
        <v>0.212885154061625</v>
      </c>
      <c r="AB153" s="3">
        <v>0.12885154061624601</v>
      </c>
      <c r="AC153" s="3">
        <v>0</v>
      </c>
      <c r="AD153" s="3">
        <v>0</v>
      </c>
      <c r="AE153" s="3">
        <v>0</v>
      </c>
      <c r="AF153" s="3">
        <v>0</v>
      </c>
      <c r="AG153" s="3">
        <v>0</v>
      </c>
      <c r="AH153" s="3">
        <v>0</v>
      </c>
      <c r="AI153" s="3">
        <v>0</v>
      </c>
      <c r="AJ153" s="3">
        <v>0</v>
      </c>
      <c r="AK153" s="3">
        <v>0.45798319327731102</v>
      </c>
      <c r="AL153" s="3">
        <v>0</v>
      </c>
      <c r="AM153" s="3">
        <v>0.54201680672268904</v>
      </c>
      <c r="AN153" s="3">
        <v>3.6410256410256401</v>
      </c>
      <c r="AO153" s="3">
        <v>5.4748858447488598</v>
      </c>
      <c r="AP153" s="3">
        <v>5.0441176470588198</v>
      </c>
      <c r="AQ153" s="3" t="s">
        <v>825</v>
      </c>
      <c r="AR153" s="3" t="s">
        <v>826</v>
      </c>
      <c r="AS153" s="3" t="s">
        <v>827</v>
      </c>
      <c r="AT153" s="3" t="s">
        <v>636</v>
      </c>
      <c r="AU153" s="4">
        <v>1</v>
      </c>
      <c r="AV153" s="5">
        <v>0.95520000000000005</v>
      </c>
      <c r="AW153" s="10" t="s">
        <v>828</v>
      </c>
      <c r="AX153" s="6" t="s">
        <v>829</v>
      </c>
    </row>
    <row r="154" spans="1:50" x14ac:dyDescent="0.2">
      <c r="A154" s="3" t="s">
        <v>565</v>
      </c>
      <c r="B154" s="3" t="s">
        <v>70</v>
      </c>
      <c r="C154" s="3">
        <v>39851932</v>
      </c>
      <c r="D154" s="3" t="s">
        <v>52</v>
      </c>
      <c r="E154" s="3" t="s">
        <v>53</v>
      </c>
      <c r="F154" s="3" t="s">
        <v>46</v>
      </c>
      <c r="G154" s="3" t="s">
        <v>53</v>
      </c>
      <c r="H154" s="3" t="s">
        <v>234</v>
      </c>
      <c r="I154" s="3" t="s">
        <v>519</v>
      </c>
      <c r="J154" s="20" t="s">
        <v>566</v>
      </c>
      <c r="K154" s="3">
        <v>3.2208588957055299E-2</v>
      </c>
      <c r="L154" s="3">
        <v>326</v>
      </c>
      <c r="M154" s="3">
        <v>-5.2305124486642098</v>
      </c>
      <c r="N154" s="3">
        <v>1.3374066199402001E-3</v>
      </c>
      <c r="O154" s="20" t="s">
        <v>567</v>
      </c>
      <c r="P154" s="3">
        <v>351</v>
      </c>
      <c r="Q154" s="3">
        <v>6</v>
      </c>
      <c r="R154" s="3">
        <v>0</v>
      </c>
      <c r="S154" s="3">
        <v>0</v>
      </c>
      <c r="T154" s="3">
        <v>0</v>
      </c>
      <c r="U154" s="3">
        <v>0</v>
      </c>
      <c r="V154" s="3">
        <v>0</v>
      </c>
      <c r="W154" s="3">
        <v>0</v>
      </c>
      <c r="X154" s="3">
        <v>0</v>
      </c>
      <c r="Y154" s="3">
        <v>0</v>
      </c>
      <c r="Z154" s="3">
        <v>0</v>
      </c>
      <c r="AA154" s="3">
        <v>0</v>
      </c>
      <c r="AB154" s="3">
        <v>0</v>
      </c>
      <c r="AC154" s="3">
        <v>0</v>
      </c>
      <c r="AD154" s="3">
        <v>0</v>
      </c>
      <c r="AE154" s="3">
        <v>1.6806722689075598E-2</v>
      </c>
      <c r="AF154" s="3">
        <v>0.98319327731092399</v>
      </c>
      <c r="AG154" s="3">
        <v>0</v>
      </c>
      <c r="AH154" s="3">
        <v>0</v>
      </c>
      <c r="AI154" s="3">
        <v>0</v>
      </c>
      <c r="AJ154" s="3">
        <v>8.4033613445378096E-3</v>
      </c>
      <c r="AK154" s="3">
        <v>0</v>
      </c>
      <c r="AL154" s="3">
        <v>0.99159663865546199</v>
      </c>
      <c r="AM154" s="3">
        <v>0</v>
      </c>
      <c r="AN154" s="3" t="s">
        <v>55</v>
      </c>
      <c r="AO154" s="3">
        <v>2.8</v>
      </c>
      <c r="AP154" s="3">
        <v>5.2024922118380097</v>
      </c>
      <c r="AQ154" s="3"/>
      <c r="AR154" s="3"/>
      <c r="AS154" s="3"/>
      <c r="AT154" s="3"/>
      <c r="AU154" s="3"/>
      <c r="AV154" s="3"/>
      <c r="AW154" s="6"/>
      <c r="AX154" s="6"/>
    </row>
    <row r="155" spans="1:50" x14ac:dyDescent="0.2">
      <c r="A155" s="3" t="s">
        <v>568</v>
      </c>
      <c r="B155" s="3" t="s">
        <v>198</v>
      </c>
      <c r="C155" s="3">
        <v>523243129</v>
      </c>
      <c r="D155" s="3" t="s">
        <v>58</v>
      </c>
      <c r="E155" s="3" t="s">
        <v>46</v>
      </c>
      <c r="F155" s="3" t="s">
        <v>59</v>
      </c>
      <c r="G155" s="3" t="s">
        <v>59</v>
      </c>
      <c r="H155" s="3" t="s">
        <v>234</v>
      </c>
      <c r="I155" s="3" t="s">
        <v>519</v>
      </c>
      <c r="J155" s="20" t="s">
        <v>569</v>
      </c>
      <c r="K155" s="3">
        <v>1.5337423312883299E-3</v>
      </c>
      <c r="L155" s="3">
        <v>326</v>
      </c>
      <c r="M155" s="3">
        <v>-49.800554896263698</v>
      </c>
      <c r="N155" s="20" t="s">
        <v>570</v>
      </c>
      <c r="O155" s="3">
        <v>0</v>
      </c>
      <c r="P155" s="3">
        <v>287</v>
      </c>
      <c r="Q155" s="3">
        <v>0</v>
      </c>
      <c r="R155" s="3">
        <v>0</v>
      </c>
      <c r="S155" s="3">
        <v>0</v>
      </c>
      <c r="T155" s="3">
        <v>0</v>
      </c>
      <c r="U155" s="3">
        <v>1</v>
      </c>
      <c r="V155" s="3">
        <v>69</v>
      </c>
      <c r="W155" s="3">
        <v>0</v>
      </c>
      <c r="X155" s="3">
        <v>0</v>
      </c>
      <c r="Y155" s="3">
        <v>0</v>
      </c>
      <c r="Z155" s="3">
        <v>0</v>
      </c>
      <c r="AA155" s="3">
        <v>0</v>
      </c>
      <c r="AB155" s="3">
        <v>2.80112044817927E-3</v>
      </c>
      <c r="AC155" s="3">
        <v>0</v>
      </c>
      <c r="AD155" s="3">
        <v>0</v>
      </c>
      <c r="AE155" s="3">
        <v>0</v>
      </c>
      <c r="AF155" s="3">
        <v>0.80392156862745101</v>
      </c>
      <c r="AG155" s="3">
        <v>0</v>
      </c>
      <c r="AH155" s="3">
        <v>0</v>
      </c>
      <c r="AI155" s="3">
        <v>0.19327731092437</v>
      </c>
      <c r="AJ155" s="3">
        <v>0</v>
      </c>
      <c r="AK155" s="3">
        <v>9.9439775910364195E-2</v>
      </c>
      <c r="AL155" s="3">
        <v>0.90056022408963599</v>
      </c>
      <c r="AM155" s="3">
        <v>0</v>
      </c>
      <c r="AN155" s="3">
        <v>5</v>
      </c>
      <c r="AO155" s="3">
        <v>5.6507936507936503</v>
      </c>
      <c r="AP155" s="3">
        <v>5.0496183206106897</v>
      </c>
      <c r="AQ155" s="3" t="s">
        <v>830</v>
      </c>
      <c r="AR155" s="3" t="s">
        <v>635</v>
      </c>
      <c r="AS155" s="3" t="s">
        <v>635</v>
      </c>
      <c r="AT155" s="3" t="s">
        <v>636</v>
      </c>
      <c r="AU155" s="4">
        <v>1</v>
      </c>
      <c r="AV155" s="5">
        <v>0.94530000000000003</v>
      </c>
      <c r="AW155" s="6"/>
      <c r="AX155" s="6"/>
    </row>
    <row r="156" spans="1:50" x14ac:dyDescent="0.2">
      <c r="A156" s="3" t="s">
        <v>571</v>
      </c>
      <c r="B156" s="3" t="s">
        <v>169</v>
      </c>
      <c r="C156" s="3">
        <v>385396770</v>
      </c>
      <c r="D156" s="3" t="s">
        <v>127</v>
      </c>
      <c r="E156" s="3" t="s">
        <v>53</v>
      </c>
      <c r="F156" s="3" t="s">
        <v>45</v>
      </c>
      <c r="G156" s="3" t="s">
        <v>53</v>
      </c>
      <c r="H156" s="3" t="s">
        <v>234</v>
      </c>
      <c r="I156" s="3" t="s">
        <v>519</v>
      </c>
      <c r="J156" s="20" t="s">
        <v>572</v>
      </c>
      <c r="K156" s="3">
        <v>0.24079754601226999</v>
      </c>
      <c r="L156" s="3">
        <v>326</v>
      </c>
      <c r="M156" s="3">
        <v>-1.9164729412016199</v>
      </c>
      <c r="N156" s="3">
        <v>1.0813659242972899E-3</v>
      </c>
      <c r="O156" s="3">
        <v>0</v>
      </c>
      <c r="P156" s="3">
        <v>0</v>
      </c>
      <c r="Q156" s="3">
        <v>0</v>
      </c>
      <c r="R156" s="3">
        <v>98</v>
      </c>
      <c r="S156" s="3">
        <v>0</v>
      </c>
      <c r="T156" s="3">
        <v>159</v>
      </c>
      <c r="U156" s="3">
        <v>0</v>
      </c>
      <c r="V156" s="3">
        <v>0</v>
      </c>
      <c r="W156" s="3">
        <v>0</v>
      </c>
      <c r="X156" s="3">
        <v>0</v>
      </c>
      <c r="Y156" s="3">
        <v>100</v>
      </c>
      <c r="Z156" s="3">
        <v>0</v>
      </c>
      <c r="AA156" s="3">
        <v>0.44537815126050401</v>
      </c>
      <c r="AB156" s="3">
        <v>0</v>
      </c>
      <c r="AC156" s="3">
        <v>0</v>
      </c>
      <c r="AD156" s="3">
        <v>0.27450980392156898</v>
      </c>
      <c r="AE156" s="3">
        <v>0</v>
      </c>
      <c r="AF156" s="3">
        <v>0</v>
      </c>
      <c r="AG156" s="3">
        <v>0</v>
      </c>
      <c r="AH156" s="3">
        <v>0.28011204481792701</v>
      </c>
      <c r="AI156" s="3">
        <v>0</v>
      </c>
      <c r="AJ156" s="3">
        <v>0.41456582633053202</v>
      </c>
      <c r="AK156" s="3">
        <v>0</v>
      </c>
      <c r="AL156" s="3">
        <v>0</v>
      </c>
      <c r="AM156" s="3">
        <v>0.58543417366946804</v>
      </c>
      <c r="AN156" s="3">
        <v>6.25555555555556</v>
      </c>
      <c r="AO156" s="3">
        <v>5.7</v>
      </c>
      <c r="AP156" s="3">
        <v>4.1643835616438398</v>
      </c>
      <c r="AQ156" s="3"/>
      <c r="AR156" s="3"/>
      <c r="AS156" s="3"/>
      <c r="AT156" s="3"/>
      <c r="AU156" s="3"/>
      <c r="AV156" s="3"/>
      <c r="AW156" s="6"/>
      <c r="AX156" s="6"/>
    </row>
    <row r="157" spans="1:50" ht="56" x14ac:dyDescent="0.2">
      <c r="A157" s="3" t="s">
        <v>573</v>
      </c>
      <c r="B157" s="3" t="s">
        <v>113</v>
      </c>
      <c r="C157" s="3">
        <v>722317269</v>
      </c>
      <c r="D157" s="3" t="s">
        <v>109</v>
      </c>
      <c r="E157" s="3" t="s">
        <v>45</v>
      </c>
      <c r="F157" s="3" t="s">
        <v>59</v>
      </c>
      <c r="G157" s="3" t="s">
        <v>45</v>
      </c>
      <c r="H157" s="3" t="s">
        <v>234</v>
      </c>
      <c r="I157" s="3" t="s">
        <v>519</v>
      </c>
      <c r="J157" s="20" t="s">
        <v>574</v>
      </c>
      <c r="K157" s="3">
        <v>3.0674846625766698E-3</v>
      </c>
      <c r="L157" s="3">
        <v>326</v>
      </c>
      <c r="M157" s="3">
        <v>-15.7238599127797</v>
      </c>
      <c r="N157" s="3">
        <v>2.15727566101186E-3</v>
      </c>
      <c r="O157" s="3">
        <v>0</v>
      </c>
      <c r="P157" s="3">
        <v>0</v>
      </c>
      <c r="Q157" s="3">
        <v>0</v>
      </c>
      <c r="R157" s="3">
        <v>0</v>
      </c>
      <c r="S157" s="3">
        <v>0</v>
      </c>
      <c r="T157" s="3">
        <v>21</v>
      </c>
      <c r="U157" s="3">
        <v>210</v>
      </c>
      <c r="V157" s="3">
        <v>0</v>
      </c>
      <c r="W157" s="3">
        <v>126</v>
      </c>
      <c r="X157" s="3">
        <v>0</v>
      </c>
      <c r="Y157" s="3">
        <v>0</v>
      </c>
      <c r="Z157" s="3">
        <v>0.35294117647058798</v>
      </c>
      <c r="AA157" s="3">
        <v>5.8823529411764698E-2</v>
      </c>
      <c r="AB157" s="3">
        <v>0.58823529411764697</v>
      </c>
      <c r="AC157" s="3">
        <v>0</v>
      </c>
      <c r="AD157" s="3">
        <v>0</v>
      </c>
      <c r="AE157" s="3">
        <v>0</v>
      </c>
      <c r="AF157" s="3">
        <v>0</v>
      </c>
      <c r="AG157" s="3">
        <v>0</v>
      </c>
      <c r="AH157" s="3">
        <v>0</v>
      </c>
      <c r="AI157" s="3">
        <v>0</v>
      </c>
      <c r="AJ157" s="3">
        <v>0</v>
      </c>
      <c r="AK157" s="3">
        <v>0.76470588235294101</v>
      </c>
      <c r="AL157" s="3">
        <v>0</v>
      </c>
      <c r="AM157" s="3">
        <v>0.23529411764705899</v>
      </c>
      <c r="AN157" s="3">
        <v>3.3157894736842102</v>
      </c>
      <c r="AO157" s="3">
        <v>4.6581196581196602</v>
      </c>
      <c r="AP157" s="3">
        <v>5.6631578947368402</v>
      </c>
      <c r="AQ157" s="3" t="s">
        <v>914</v>
      </c>
      <c r="AR157" s="3"/>
      <c r="AS157" s="3" t="s">
        <v>831</v>
      </c>
      <c r="AT157" s="3" t="s">
        <v>636</v>
      </c>
      <c r="AU157" s="4">
        <v>1</v>
      </c>
      <c r="AV157" s="5">
        <v>0.75980000000000003</v>
      </c>
      <c r="AW157" s="12" t="s">
        <v>681</v>
      </c>
      <c r="AX157" s="6" t="s">
        <v>682</v>
      </c>
    </row>
    <row r="158" spans="1:50" x14ac:dyDescent="0.2">
      <c r="A158" s="3" t="s">
        <v>172</v>
      </c>
      <c r="B158" s="3" t="s">
        <v>152</v>
      </c>
      <c r="C158" s="3">
        <v>60561704</v>
      </c>
      <c r="D158" s="3" t="s">
        <v>71</v>
      </c>
      <c r="E158" s="3" t="s">
        <v>45</v>
      </c>
      <c r="F158" s="3" t="s">
        <v>59</v>
      </c>
      <c r="G158" s="3" t="s">
        <v>59</v>
      </c>
      <c r="H158" s="3" t="s">
        <v>173</v>
      </c>
      <c r="I158" s="3" t="s">
        <v>48</v>
      </c>
      <c r="J158" s="20" t="s">
        <v>174</v>
      </c>
      <c r="K158" s="3">
        <v>0.44312796208530802</v>
      </c>
      <c r="L158" s="3">
        <v>422</v>
      </c>
      <c r="M158" s="3">
        <v>3.6573933147844899</v>
      </c>
      <c r="N158" s="3">
        <v>8.7908883100014205E-3</v>
      </c>
      <c r="O158" s="3">
        <v>4.4988640990145301</v>
      </c>
      <c r="P158" s="3">
        <v>0</v>
      </c>
      <c r="Q158" s="3">
        <v>0</v>
      </c>
      <c r="R158" s="3">
        <v>0</v>
      </c>
      <c r="S158" s="3">
        <v>0</v>
      </c>
      <c r="T158" s="3">
        <v>376</v>
      </c>
      <c r="U158" s="3">
        <v>1</v>
      </c>
      <c r="V158" s="3">
        <v>0</v>
      </c>
      <c r="W158" s="3">
        <v>52</v>
      </c>
      <c r="X158" s="3">
        <v>0</v>
      </c>
      <c r="Y158" s="3">
        <v>0</v>
      </c>
      <c r="Z158" s="3">
        <v>0.12121212121212099</v>
      </c>
      <c r="AA158" s="3">
        <v>0.87645687645687598</v>
      </c>
      <c r="AB158" s="3">
        <v>2.3310023310023301E-3</v>
      </c>
      <c r="AC158" s="3">
        <v>0</v>
      </c>
      <c r="AD158" s="3">
        <v>0</v>
      </c>
      <c r="AE158" s="3">
        <v>0</v>
      </c>
      <c r="AF158" s="3">
        <v>0</v>
      </c>
      <c r="AG158" s="3">
        <v>0</v>
      </c>
      <c r="AH158" s="3">
        <v>0</v>
      </c>
      <c r="AI158" s="3">
        <v>0</v>
      </c>
      <c r="AJ158" s="3">
        <v>0</v>
      </c>
      <c r="AK158" s="3">
        <v>6.2937062937062901E-2</v>
      </c>
      <c r="AL158" s="3">
        <v>0</v>
      </c>
      <c r="AM158" s="3">
        <v>0.93706293706293697</v>
      </c>
      <c r="AN158" s="3">
        <v>95</v>
      </c>
      <c r="AO158" s="3">
        <v>95.392156862745097</v>
      </c>
      <c r="AP158" s="3">
        <v>93.8783783783784</v>
      </c>
      <c r="AQ158" s="3"/>
      <c r="AR158" s="3"/>
      <c r="AS158" s="3"/>
      <c r="AT158" s="3"/>
      <c r="AU158" s="3"/>
      <c r="AV158" s="3"/>
      <c r="AW158" s="6"/>
      <c r="AX158" s="6"/>
    </row>
    <row r="159" spans="1:50" x14ac:dyDescent="0.2">
      <c r="A159" s="3" t="s">
        <v>175</v>
      </c>
      <c r="B159" s="3" t="s">
        <v>70</v>
      </c>
      <c r="C159" s="3">
        <v>129127730</v>
      </c>
      <c r="D159" s="3" t="s">
        <v>67</v>
      </c>
      <c r="E159" s="3" t="s">
        <v>53</v>
      </c>
      <c r="F159" s="3" t="s">
        <v>46</v>
      </c>
      <c r="G159" s="3" t="s">
        <v>46</v>
      </c>
      <c r="H159" s="3" t="s">
        <v>173</v>
      </c>
      <c r="I159" s="3" t="s">
        <v>48</v>
      </c>
      <c r="J159" s="20" t="s">
        <v>176</v>
      </c>
      <c r="K159" s="3">
        <v>0.41469194312796198</v>
      </c>
      <c r="L159" s="3">
        <v>422</v>
      </c>
      <c r="M159" s="3">
        <v>3.6092111043999999</v>
      </c>
      <c r="N159" s="3">
        <v>8.6939091146567501E-4</v>
      </c>
      <c r="O159" s="3">
        <v>0</v>
      </c>
      <c r="P159" s="3">
        <v>20</v>
      </c>
      <c r="Q159" s="3">
        <v>44</v>
      </c>
      <c r="R159" s="3">
        <v>365</v>
      </c>
      <c r="S159" s="3">
        <v>0</v>
      </c>
      <c r="T159" s="3">
        <v>0</v>
      </c>
      <c r="U159" s="3">
        <v>0</v>
      </c>
      <c r="V159" s="3">
        <v>0</v>
      </c>
      <c r="W159" s="3">
        <v>0</v>
      </c>
      <c r="X159" s="3">
        <v>0</v>
      </c>
      <c r="Y159" s="3">
        <v>0</v>
      </c>
      <c r="Z159" s="3">
        <v>0</v>
      </c>
      <c r="AA159" s="3">
        <v>0</v>
      </c>
      <c r="AB159" s="3">
        <v>0</v>
      </c>
      <c r="AC159" s="3">
        <v>0</v>
      </c>
      <c r="AD159" s="3">
        <v>0.85081585081585098</v>
      </c>
      <c r="AE159" s="3">
        <v>0.102564102564103</v>
      </c>
      <c r="AF159" s="3">
        <v>4.6620046620046603E-2</v>
      </c>
      <c r="AG159" s="3">
        <v>0</v>
      </c>
      <c r="AH159" s="3">
        <v>0</v>
      </c>
      <c r="AI159" s="3">
        <v>0</v>
      </c>
      <c r="AJ159" s="3">
        <v>0.90209790209790197</v>
      </c>
      <c r="AK159" s="3">
        <v>0</v>
      </c>
      <c r="AL159" s="3">
        <v>9.7902097902097904E-2</v>
      </c>
      <c r="AM159" s="3">
        <v>0</v>
      </c>
      <c r="AN159" s="3">
        <v>92.75</v>
      </c>
      <c r="AO159" s="3">
        <v>92.093023255814003</v>
      </c>
      <c r="AP159" s="3">
        <v>94.373259052924794</v>
      </c>
      <c r="AQ159" s="3"/>
      <c r="AR159" s="3"/>
      <c r="AS159" s="3"/>
      <c r="AT159" s="3"/>
      <c r="AU159" s="3"/>
      <c r="AV159" s="3"/>
      <c r="AW159" s="6"/>
      <c r="AX159" s="6"/>
    </row>
    <row r="160" spans="1:50" x14ac:dyDescent="0.2">
      <c r="A160" s="3" t="s">
        <v>177</v>
      </c>
      <c r="B160" s="3" t="s">
        <v>81</v>
      </c>
      <c r="C160" s="3">
        <v>405883624</v>
      </c>
      <c r="D160" s="3" t="s">
        <v>71</v>
      </c>
      <c r="E160" s="3" t="s">
        <v>45</v>
      </c>
      <c r="F160" s="3" t="s">
        <v>59</v>
      </c>
      <c r="G160" s="3" t="s">
        <v>59</v>
      </c>
      <c r="H160" s="3" t="s">
        <v>173</v>
      </c>
      <c r="I160" s="3" t="s">
        <v>48</v>
      </c>
      <c r="J160" s="20" t="s">
        <v>178</v>
      </c>
      <c r="K160" s="3">
        <v>1.30331753554502E-2</v>
      </c>
      <c r="L160" s="3">
        <v>422</v>
      </c>
      <c r="M160" s="3">
        <v>11.524355707701901</v>
      </c>
      <c r="N160" s="3">
        <v>9.5766539679905196E-4</v>
      </c>
      <c r="O160" s="20" t="s">
        <v>179</v>
      </c>
      <c r="P160" s="3">
        <v>0</v>
      </c>
      <c r="Q160" s="3">
        <v>0</v>
      </c>
      <c r="R160" s="3">
        <v>0</v>
      </c>
      <c r="S160" s="3">
        <v>0</v>
      </c>
      <c r="T160" s="3">
        <v>266</v>
      </c>
      <c r="U160" s="3">
        <v>7</v>
      </c>
      <c r="V160" s="3">
        <v>0</v>
      </c>
      <c r="W160" s="3">
        <v>156</v>
      </c>
      <c r="X160" s="3">
        <v>0</v>
      </c>
      <c r="Y160" s="3">
        <v>0</v>
      </c>
      <c r="Z160" s="3">
        <v>0.36363636363636398</v>
      </c>
      <c r="AA160" s="3">
        <v>0.62004662004662003</v>
      </c>
      <c r="AB160" s="3">
        <v>1.6317016317016299E-2</v>
      </c>
      <c r="AC160" s="3">
        <v>0</v>
      </c>
      <c r="AD160" s="3">
        <v>0</v>
      </c>
      <c r="AE160" s="3">
        <v>0</v>
      </c>
      <c r="AF160" s="3">
        <v>0</v>
      </c>
      <c r="AG160" s="3">
        <v>0</v>
      </c>
      <c r="AH160" s="3">
        <v>0</v>
      </c>
      <c r="AI160" s="3">
        <v>0</v>
      </c>
      <c r="AJ160" s="3">
        <v>0</v>
      </c>
      <c r="AK160" s="3">
        <v>0.198135198135198</v>
      </c>
      <c r="AL160" s="3">
        <v>0</v>
      </c>
      <c r="AM160" s="3">
        <v>0.80186480186480202</v>
      </c>
      <c r="AN160" s="3">
        <v>93.571428571428598</v>
      </c>
      <c r="AO160" s="3">
        <v>95.519480519480496</v>
      </c>
      <c r="AP160" s="3">
        <v>93.218390804597703</v>
      </c>
      <c r="AQ160" s="3"/>
      <c r="AR160" s="3"/>
      <c r="AS160" s="3"/>
      <c r="AT160" s="3"/>
      <c r="AU160" s="3"/>
      <c r="AV160" s="3"/>
      <c r="AW160" s="6"/>
      <c r="AX160" s="6"/>
    </row>
    <row r="161" spans="1:50" x14ac:dyDescent="0.2">
      <c r="A161" s="3" t="s">
        <v>356</v>
      </c>
      <c r="B161" s="3" t="s">
        <v>160</v>
      </c>
      <c r="C161" s="3">
        <v>260252102</v>
      </c>
      <c r="D161" s="3" t="s">
        <v>127</v>
      </c>
      <c r="E161" s="3" t="s">
        <v>45</v>
      </c>
      <c r="F161" s="3" t="s">
        <v>53</v>
      </c>
      <c r="G161" s="3" t="s">
        <v>53</v>
      </c>
      <c r="H161" s="3" t="s">
        <v>173</v>
      </c>
      <c r="I161" s="3" t="s">
        <v>369</v>
      </c>
      <c r="J161" s="20" t="s">
        <v>423</v>
      </c>
      <c r="K161" s="3">
        <v>4.8387096774194002E-3</v>
      </c>
      <c r="L161" s="3">
        <v>310</v>
      </c>
      <c r="M161" s="3">
        <v>35.5912657250988</v>
      </c>
      <c r="N161" s="3">
        <v>6.7760005419158402E-3</v>
      </c>
      <c r="O161" s="3">
        <v>0</v>
      </c>
      <c r="P161" s="3">
        <v>0</v>
      </c>
      <c r="Q161" s="3">
        <v>0</v>
      </c>
      <c r="R161" s="3">
        <v>0</v>
      </c>
      <c r="S161" s="3">
        <v>0</v>
      </c>
      <c r="T161" s="3">
        <v>364</v>
      </c>
      <c r="U161" s="3">
        <v>0</v>
      </c>
      <c r="V161" s="3">
        <v>0</v>
      </c>
      <c r="W161" s="3">
        <v>0</v>
      </c>
      <c r="X161" s="3">
        <v>0</v>
      </c>
      <c r="Y161" s="3">
        <v>0</v>
      </c>
      <c r="Z161" s="3">
        <v>0</v>
      </c>
      <c r="AA161" s="3">
        <v>1</v>
      </c>
      <c r="AB161" s="3">
        <v>0</v>
      </c>
      <c r="AC161" s="3">
        <v>0</v>
      </c>
      <c r="AD161" s="3">
        <v>0</v>
      </c>
      <c r="AE161" s="3">
        <v>0</v>
      </c>
      <c r="AF161" s="3">
        <v>0</v>
      </c>
      <c r="AG161" s="3">
        <v>0</v>
      </c>
      <c r="AH161" s="3">
        <v>0</v>
      </c>
      <c r="AI161" s="3">
        <v>0</v>
      </c>
      <c r="AJ161" s="3">
        <v>0</v>
      </c>
      <c r="AK161" s="3">
        <v>0</v>
      </c>
      <c r="AL161" s="3">
        <v>0</v>
      </c>
      <c r="AM161" s="3">
        <v>1</v>
      </c>
      <c r="AN161" s="3" t="s">
        <v>55</v>
      </c>
      <c r="AO161" s="3" t="s">
        <v>55</v>
      </c>
      <c r="AP161" s="3">
        <v>112.487096774194</v>
      </c>
      <c r="AQ161" s="3"/>
      <c r="AR161" s="3"/>
      <c r="AS161" s="3"/>
      <c r="AT161" s="3"/>
      <c r="AU161" s="3"/>
      <c r="AV161" s="3"/>
      <c r="AW161" s="6"/>
      <c r="AX161" s="6"/>
    </row>
    <row r="162" spans="1:50" x14ac:dyDescent="0.2">
      <c r="A162" s="3" t="s">
        <v>424</v>
      </c>
      <c r="B162" s="3" t="s">
        <v>74</v>
      </c>
      <c r="C162" s="3">
        <v>24192893</v>
      </c>
      <c r="D162" s="3" t="s">
        <v>52</v>
      </c>
      <c r="E162" s="3" t="s">
        <v>46</v>
      </c>
      <c r="F162" s="3" t="s">
        <v>53</v>
      </c>
      <c r="G162" s="3" t="s">
        <v>53</v>
      </c>
      <c r="H162" s="3" t="s">
        <v>173</v>
      </c>
      <c r="I162" s="3" t="s">
        <v>369</v>
      </c>
      <c r="J162" s="20" t="s">
        <v>425</v>
      </c>
      <c r="K162" s="3">
        <v>1.6129032258064299E-3</v>
      </c>
      <c r="L162" s="3">
        <v>310</v>
      </c>
      <c r="M162" s="3">
        <v>93.656986588248401</v>
      </c>
      <c r="N162" s="20" t="s">
        <v>426</v>
      </c>
      <c r="O162" s="3">
        <v>0</v>
      </c>
      <c r="P162" s="3">
        <v>147</v>
      </c>
      <c r="Q162" s="3">
        <v>160</v>
      </c>
      <c r="R162" s="3">
        <v>57</v>
      </c>
      <c r="S162" s="3">
        <v>0</v>
      </c>
      <c r="T162" s="3">
        <v>0</v>
      </c>
      <c r="U162" s="3">
        <v>0</v>
      </c>
      <c r="V162" s="3">
        <v>0</v>
      </c>
      <c r="W162" s="3">
        <v>0</v>
      </c>
      <c r="X162" s="3">
        <v>0</v>
      </c>
      <c r="Y162" s="3">
        <v>0</v>
      </c>
      <c r="Z162" s="3">
        <v>0</v>
      </c>
      <c r="AA162" s="3">
        <v>0</v>
      </c>
      <c r="AB162" s="3">
        <v>0</v>
      </c>
      <c r="AC162" s="3">
        <v>0</v>
      </c>
      <c r="AD162" s="3">
        <v>0.15659340659340701</v>
      </c>
      <c r="AE162" s="3">
        <v>0.43956043956044</v>
      </c>
      <c r="AF162" s="3">
        <v>0.40384615384615402</v>
      </c>
      <c r="AG162" s="3">
        <v>0</v>
      </c>
      <c r="AH162" s="3">
        <v>0</v>
      </c>
      <c r="AI162" s="3">
        <v>0</v>
      </c>
      <c r="AJ162" s="3">
        <v>0.37637362637362598</v>
      </c>
      <c r="AK162" s="3">
        <v>0</v>
      </c>
      <c r="AL162" s="3">
        <v>0.62362637362637396</v>
      </c>
      <c r="AM162" s="3">
        <v>0</v>
      </c>
      <c r="AN162" s="3">
        <v>112.452830188679</v>
      </c>
      <c r="AO162" s="3">
        <v>113.76691729323301</v>
      </c>
      <c r="AP162" s="3">
        <v>111.129032258065</v>
      </c>
      <c r="AQ162" s="3"/>
      <c r="AR162" s="3"/>
      <c r="AS162" s="3"/>
      <c r="AT162" s="3"/>
      <c r="AU162" s="3"/>
      <c r="AV162" s="3"/>
      <c r="AW162" s="6"/>
      <c r="AX162" s="6"/>
    </row>
    <row r="163" spans="1:50" x14ac:dyDescent="0.2">
      <c r="A163" s="3" t="s">
        <v>427</v>
      </c>
      <c r="B163" s="3" t="s">
        <v>74</v>
      </c>
      <c r="C163" s="3">
        <v>530680062</v>
      </c>
      <c r="D163" s="3" t="s">
        <v>139</v>
      </c>
      <c r="E163" s="3" t="s">
        <v>46</v>
      </c>
      <c r="F163" s="3" t="s">
        <v>45</v>
      </c>
      <c r="G163" s="3" t="s">
        <v>45</v>
      </c>
      <c r="H163" s="3" t="s">
        <v>173</v>
      </c>
      <c r="I163" s="3" t="s">
        <v>369</v>
      </c>
      <c r="J163" s="20" t="s">
        <v>428</v>
      </c>
      <c r="K163" s="3">
        <v>2.5806451612903201E-2</v>
      </c>
      <c r="L163" s="3">
        <v>310</v>
      </c>
      <c r="M163" s="3">
        <v>17.223261784837401</v>
      </c>
      <c r="N163" s="3">
        <v>4.8954489967003899E-3</v>
      </c>
      <c r="O163" s="3">
        <v>0</v>
      </c>
      <c r="P163" s="3">
        <v>287</v>
      </c>
      <c r="Q163" s="3">
        <v>0</v>
      </c>
      <c r="R163" s="3">
        <v>0</v>
      </c>
      <c r="S163" s="3">
        <v>35</v>
      </c>
      <c r="T163" s="3">
        <v>42</v>
      </c>
      <c r="U163" s="3">
        <v>0</v>
      </c>
      <c r="V163" s="3">
        <v>0</v>
      </c>
      <c r="W163" s="3">
        <v>0</v>
      </c>
      <c r="X163" s="3">
        <v>0</v>
      </c>
      <c r="Y163" s="3">
        <v>0</v>
      </c>
      <c r="Z163" s="3">
        <v>0</v>
      </c>
      <c r="AA163" s="3">
        <v>0.115384615384615</v>
      </c>
      <c r="AB163" s="3">
        <v>0</v>
      </c>
      <c r="AC163" s="3">
        <v>0</v>
      </c>
      <c r="AD163" s="3">
        <v>0</v>
      </c>
      <c r="AE163" s="3">
        <v>0</v>
      </c>
      <c r="AF163" s="3">
        <v>0.78846153846153799</v>
      </c>
      <c r="AG163" s="3">
        <v>9.6153846153846201E-2</v>
      </c>
      <c r="AH163" s="3">
        <v>0</v>
      </c>
      <c r="AI163" s="3">
        <v>0</v>
      </c>
      <c r="AJ163" s="3">
        <v>0</v>
      </c>
      <c r="AK163" s="3">
        <v>0</v>
      </c>
      <c r="AL163" s="3">
        <v>0.83653846153846201</v>
      </c>
      <c r="AM163" s="3">
        <v>0.16346153846153799</v>
      </c>
      <c r="AN163" s="3">
        <v>110.14705882352899</v>
      </c>
      <c r="AO163" s="3">
        <v>120.333333333333</v>
      </c>
      <c r="AP163" s="3">
        <v>111.853658536585</v>
      </c>
      <c r="AQ163" s="3"/>
      <c r="AR163" s="3"/>
      <c r="AS163" s="3"/>
      <c r="AT163" s="3"/>
      <c r="AU163" s="3"/>
      <c r="AV163" s="3"/>
      <c r="AW163" s="6"/>
      <c r="AX163" s="6"/>
    </row>
    <row r="164" spans="1:50" ht="84" x14ac:dyDescent="0.2">
      <c r="A164" s="3" t="s">
        <v>429</v>
      </c>
      <c r="B164" s="3" t="s">
        <v>169</v>
      </c>
      <c r="C164" s="3">
        <v>388713790</v>
      </c>
      <c r="D164" s="3" t="s">
        <v>109</v>
      </c>
      <c r="E164" s="3" t="s">
        <v>59</v>
      </c>
      <c r="F164" s="3" t="s">
        <v>45</v>
      </c>
      <c r="G164" s="3" t="s">
        <v>45</v>
      </c>
      <c r="H164" s="3" t="s">
        <v>173</v>
      </c>
      <c r="I164" s="3" t="s">
        <v>369</v>
      </c>
      <c r="J164" s="20" t="s">
        <v>430</v>
      </c>
      <c r="K164" s="3">
        <v>9.0322580645161299E-2</v>
      </c>
      <c r="L164" s="3">
        <v>310</v>
      </c>
      <c r="M164" s="3">
        <v>8.0633640059129998</v>
      </c>
      <c r="N164" s="3">
        <v>1.0219106179744499E-4</v>
      </c>
      <c r="O164" s="3">
        <v>0</v>
      </c>
      <c r="P164" s="3">
        <v>0</v>
      </c>
      <c r="Q164" s="3">
        <v>0</v>
      </c>
      <c r="R164" s="3">
        <v>0</v>
      </c>
      <c r="S164" s="3">
        <v>0</v>
      </c>
      <c r="T164" s="3">
        <v>12</v>
      </c>
      <c r="U164" s="3">
        <v>115</v>
      </c>
      <c r="V164" s="3">
        <v>0</v>
      </c>
      <c r="W164" s="3">
        <v>237</v>
      </c>
      <c r="X164" s="3">
        <v>0</v>
      </c>
      <c r="Y164" s="3">
        <v>0</v>
      </c>
      <c r="Z164" s="3">
        <v>0.65109890109890101</v>
      </c>
      <c r="AA164" s="3">
        <v>3.2967032967033003E-2</v>
      </c>
      <c r="AB164" s="3">
        <v>0.31593406593406598</v>
      </c>
      <c r="AC164" s="3">
        <v>0</v>
      </c>
      <c r="AD164" s="3">
        <v>0</v>
      </c>
      <c r="AE164" s="3">
        <v>0</v>
      </c>
      <c r="AF164" s="3">
        <v>0</v>
      </c>
      <c r="AG164" s="3">
        <v>0</v>
      </c>
      <c r="AH164" s="3">
        <v>0</v>
      </c>
      <c r="AI164" s="3">
        <v>0</v>
      </c>
      <c r="AJ164" s="3">
        <v>0</v>
      </c>
      <c r="AK164" s="3">
        <v>0.64148351648351598</v>
      </c>
      <c r="AL164" s="3">
        <v>0</v>
      </c>
      <c r="AM164" s="3">
        <v>0.35851648351648402</v>
      </c>
      <c r="AN164" s="3">
        <v>116.25</v>
      </c>
      <c r="AO164" s="3">
        <v>113.787128712871</v>
      </c>
      <c r="AP164" s="3">
        <v>109.28125</v>
      </c>
      <c r="AQ164" s="3" t="s">
        <v>832</v>
      </c>
      <c r="AR164" s="3" t="s">
        <v>833</v>
      </c>
      <c r="AS164" s="3" t="s">
        <v>834</v>
      </c>
      <c r="AT164" s="3" t="s">
        <v>636</v>
      </c>
      <c r="AU164" s="4">
        <v>0.91</v>
      </c>
      <c r="AV164" s="5">
        <v>0.89670000000000005</v>
      </c>
      <c r="AW164" s="11" t="s">
        <v>835</v>
      </c>
      <c r="AX164" s="6" t="s">
        <v>836</v>
      </c>
    </row>
    <row r="165" spans="1:50" x14ac:dyDescent="0.2">
      <c r="A165" s="3" t="s">
        <v>510</v>
      </c>
      <c r="B165" s="3" t="s">
        <v>152</v>
      </c>
      <c r="C165" s="3">
        <v>538240241</v>
      </c>
      <c r="D165" s="3" t="s">
        <v>71</v>
      </c>
      <c r="E165" s="3" t="s">
        <v>59</v>
      </c>
      <c r="F165" s="3" t="s">
        <v>45</v>
      </c>
      <c r="G165" s="3" t="s">
        <v>59</v>
      </c>
      <c r="H165" s="3" t="s">
        <v>173</v>
      </c>
      <c r="I165" s="3" t="s">
        <v>432</v>
      </c>
      <c r="J165" s="20" t="s">
        <v>511</v>
      </c>
      <c r="K165" s="3">
        <v>0.36464968152866201</v>
      </c>
      <c r="L165" s="3">
        <v>314</v>
      </c>
      <c r="M165" s="3">
        <v>6.5428468887531599</v>
      </c>
      <c r="N165" s="3">
        <v>2.7554980299120701E-3</v>
      </c>
      <c r="O165" s="3">
        <v>0.52166596932213705</v>
      </c>
      <c r="P165" s="3">
        <v>0</v>
      </c>
      <c r="Q165" s="3">
        <v>0</v>
      </c>
      <c r="R165" s="3">
        <v>0</v>
      </c>
      <c r="S165" s="3">
        <v>0</v>
      </c>
      <c r="T165" s="3">
        <v>348</v>
      </c>
      <c r="U165" s="3">
        <v>1</v>
      </c>
      <c r="V165" s="3">
        <v>0</v>
      </c>
      <c r="W165" s="3">
        <v>8</v>
      </c>
      <c r="X165" s="3">
        <v>0</v>
      </c>
      <c r="Y165" s="3">
        <v>0</v>
      </c>
      <c r="Z165" s="3">
        <v>2.2408963585434202E-2</v>
      </c>
      <c r="AA165" s="3">
        <v>0.97478991596638698</v>
      </c>
      <c r="AB165" s="3">
        <v>2.80112044817927E-3</v>
      </c>
      <c r="AC165" s="3">
        <v>0</v>
      </c>
      <c r="AD165" s="3">
        <v>0</v>
      </c>
      <c r="AE165" s="3">
        <v>0</v>
      </c>
      <c r="AF165" s="3">
        <v>0</v>
      </c>
      <c r="AG165" s="3">
        <v>0</v>
      </c>
      <c r="AH165" s="3">
        <v>0</v>
      </c>
      <c r="AI165" s="3">
        <v>0</v>
      </c>
      <c r="AJ165" s="3">
        <v>0</v>
      </c>
      <c r="AK165" s="3">
        <v>1.4005602240896401E-2</v>
      </c>
      <c r="AL165" s="3">
        <v>0</v>
      </c>
      <c r="AM165" s="3">
        <v>0.98599439775910402</v>
      </c>
      <c r="AN165" s="3">
        <v>118</v>
      </c>
      <c r="AO165" s="3">
        <v>110</v>
      </c>
      <c r="AP165" s="3">
        <v>110.794117647059</v>
      </c>
      <c r="AQ165" s="3"/>
      <c r="AR165" s="3"/>
      <c r="AS165" s="3"/>
      <c r="AT165" s="3"/>
      <c r="AU165" s="3"/>
      <c r="AV165" s="3"/>
      <c r="AW165" s="6"/>
      <c r="AX165" s="6"/>
    </row>
    <row r="166" spans="1:50" x14ac:dyDescent="0.2">
      <c r="A166" s="3" t="s">
        <v>512</v>
      </c>
      <c r="B166" s="3" t="s">
        <v>97</v>
      </c>
      <c r="C166" s="3">
        <v>167194150</v>
      </c>
      <c r="D166" s="3" t="s">
        <v>225</v>
      </c>
      <c r="E166" s="3" t="s">
        <v>59</v>
      </c>
      <c r="F166" s="3" t="s">
        <v>46</v>
      </c>
      <c r="G166" s="3" t="s">
        <v>46</v>
      </c>
      <c r="H166" s="3" t="s">
        <v>173</v>
      </c>
      <c r="I166" s="3" t="s">
        <v>432</v>
      </c>
      <c r="J166" s="20" t="s">
        <v>513</v>
      </c>
      <c r="K166" s="3">
        <v>0.20541401273885401</v>
      </c>
      <c r="L166" s="3">
        <v>314</v>
      </c>
      <c r="M166" s="3">
        <v>4.32646110387088</v>
      </c>
      <c r="N166" s="3">
        <v>1.47952637565586E-3</v>
      </c>
      <c r="O166" s="3">
        <v>1.55557813283423</v>
      </c>
      <c r="P166" s="3">
        <v>2</v>
      </c>
      <c r="Q166" s="3">
        <v>0</v>
      </c>
      <c r="R166" s="3">
        <v>0</v>
      </c>
      <c r="S166" s="3">
        <v>0</v>
      </c>
      <c r="T166" s="3">
        <v>0</v>
      </c>
      <c r="U166" s="3">
        <v>346</v>
      </c>
      <c r="V166" s="3">
        <v>9</v>
      </c>
      <c r="W166" s="3">
        <v>0</v>
      </c>
      <c r="X166" s="3">
        <v>0</v>
      </c>
      <c r="Y166" s="3">
        <v>0</v>
      </c>
      <c r="Z166" s="3">
        <v>0</v>
      </c>
      <c r="AA166" s="3">
        <v>0</v>
      </c>
      <c r="AB166" s="3">
        <v>0.96918767507002801</v>
      </c>
      <c r="AC166" s="3">
        <v>0</v>
      </c>
      <c r="AD166" s="3">
        <v>0</v>
      </c>
      <c r="AE166" s="3">
        <v>0</v>
      </c>
      <c r="AF166" s="3">
        <v>5.60224089635854E-3</v>
      </c>
      <c r="AG166" s="3">
        <v>0</v>
      </c>
      <c r="AH166" s="3">
        <v>0</v>
      </c>
      <c r="AI166" s="3">
        <v>2.5210084033613401E-2</v>
      </c>
      <c r="AJ166" s="3">
        <v>0</v>
      </c>
      <c r="AK166" s="3">
        <v>0.98179271708683502</v>
      </c>
      <c r="AL166" s="3">
        <v>1.8207282913165299E-2</v>
      </c>
      <c r="AM166" s="3">
        <v>0</v>
      </c>
      <c r="AN166" s="3">
        <v>81</v>
      </c>
      <c r="AO166" s="3">
        <v>117.571428571429</v>
      </c>
      <c r="AP166" s="3">
        <v>110.741830065359</v>
      </c>
      <c r="AQ166" s="3"/>
      <c r="AR166" s="3"/>
      <c r="AS166" s="3"/>
      <c r="AT166" s="3"/>
      <c r="AU166" s="3"/>
      <c r="AV166" s="3"/>
      <c r="AW166" s="6"/>
      <c r="AX166" s="6"/>
    </row>
    <row r="167" spans="1:50" x14ac:dyDescent="0.2">
      <c r="A167" s="3" t="s">
        <v>514</v>
      </c>
      <c r="B167" s="3" t="s">
        <v>105</v>
      </c>
      <c r="C167" s="3">
        <v>243762540</v>
      </c>
      <c r="D167" s="3" t="s">
        <v>156</v>
      </c>
      <c r="E167" s="3" t="s">
        <v>53</v>
      </c>
      <c r="F167" s="3" t="s">
        <v>59</v>
      </c>
      <c r="G167" s="3" t="s">
        <v>53</v>
      </c>
      <c r="H167" s="3" t="s">
        <v>173</v>
      </c>
      <c r="I167" s="3" t="s">
        <v>432</v>
      </c>
      <c r="J167" s="20" t="s">
        <v>515</v>
      </c>
      <c r="K167" s="3">
        <v>0.192675159235669</v>
      </c>
      <c r="L167" s="3">
        <v>314</v>
      </c>
      <c r="M167" s="3">
        <v>-5.6533856753550999</v>
      </c>
      <c r="N167" s="3">
        <v>2.7554980299120701E-3</v>
      </c>
      <c r="O167" s="3" t="s">
        <v>55</v>
      </c>
      <c r="P167" s="3">
        <v>0</v>
      </c>
      <c r="Q167" s="3">
        <v>0</v>
      </c>
      <c r="R167" s="3">
        <v>68</v>
      </c>
      <c r="S167" s="3">
        <v>0</v>
      </c>
      <c r="T167" s="3">
        <v>0</v>
      </c>
      <c r="U167" s="3">
        <v>133</v>
      </c>
      <c r="V167" s="3">
        <v>0</v>
      </c>
      <c r="W167" s="3">
        <v>0</v>
      </c>
      <c r="X167" s="3">
        <v>156</v>
      </c>
      <c r="Y167" s="3">
        <v>0</v>
      </c>
      <c r="Z167" s="3">
        <v>0</v>
      </c>
      <c r="AA167" s="3">
        <v>0</v>
      </c>
      <c r="AB167" s="3">
        <v>0.37254901960784298</v>
      </c>
      <c r="AC167" s="3">
        <v>0.436974789915966</v>
      </c>
      <c r="AD167" s="3">
        <v>0.19047619047618999</v>
      </c>
      <c r="AE167" s="3">
        <v>0</v>
      </c>
      <c r="AF167" s="3">
        <v>0</v>
      </c>
      <c r="AG167" s="3">
        <v>0</v>
      </c>
      <c r="AH167" s="3">
        <v>0</v>
      </c>
      <c r="AI167" s="3">
        <v>0</v>
      </c>
      <c r="AJ167" s="3">
        <v>0.40896358543417399</v>
      </c>
      <c r="AK167" s="3">
        <v>0.59103641456582601</v>
      </c>
      <c r="AL167" s="3">
        <v>0</v>
      </c>
      <c r="AM167" s="3">
        <v>0</v>
      </c>
      <c r="AN167" s="3">
        <v>112.847457627119</v>
      </c>
      <c r="AO167" s="3">
        <v>111.616541353383</v>
      </c>
      <c r="AP167" s="3">
        <v>108.91803278688499</v>
      </c>
      <c r="AQ167" s="3"/>
      <c r="AR167" s="3"/>
      <c r="AS167" s="3"/>
      <c r="AT167" s="3"/>
      <c r="AU167" s="3"/>
      <c r="AV167" s="3"/>
      <c r="AW167" s="6"/>
      <c r="AX167" s="6"/>
    </row>
    <row r="168" spans="1:50" x14ac:dyDescent="0.2">
      <c r="A168" s="3" t="s">
        <v>42</v>
      </c>
      <c r="B168" s="3" t="s">
        <v>43</v>
      </c>
      <c r="C168" s="3">
        <v>10162383</v>
      </c>
      <c r="D168" s="3" t="s">
        <v>44</v>
      </c>
      <c r="E168" s="3" t="s">
        <v>45</v>
      </c>
      <c r="F168" s="3" t="s">
        <v>46</v>
      </c>
      <c r="G168" s="3" t="s">
        <v>46</v>
      </c>
      <c r="H168" s="3" t="s">
        <v>47</v>
      </c>
      <c r="I168" s="3" t="s">
        <v>48</v>
      </c>
      <c r="J168" s="20" t="s">
        <v>49</v>
      </c>
      <c r="K168" s="3">
        <v>0.241050119331742</v>
      </c>
      <c r="L168" s="3">
        <v>419</v>
      </c>
      <c r="M168" s="3">
        <v>-2.6840834711142E-2</v>
      </c>
      <c r="N168" s="20" t="s">
        <v>50</v>
      </c>
      <c r="O168" s="3">
        <v>4.2141399375999304</v>
      </c>
      <c r="P168" s="3">
        <v>50</v>
      </c>
      <c r="Q168" s="3">
        <v>0</v>
      </c>
      <c r="R168" s="3">
        <v>0</v>
      </c>
      <c r="S168" s="3">
        <v>107</v>
      </c>
      <c r="T168" s="3">
        <v>272</v>
      </c>
      <c r="U168" s="3">
        <v>0</v>
      </c>
      <c r="V168" s="3">
        <v>0</v>
      </c>
      <c r="W168" s="3">
        <v>0</v>
      </c>
      <c r="X168" s="3">
        <v>0</v>
      </c>
      <c r="Y168" s="3">
        <v>0</v>
      </c>
      <c r="Z168" s="3">
        <v>0</v>
      </c>
      <c r="AA168" s="3">
        <v>0.63403263403263399</v>
      </c>
      <c r="AB168" s="3">
        <v>0</v>
      </c>
      <c r="AC168" s="3">
        <v>0</v>
      </c>
      <c r="AD168" s="3">
        <v>0</v>
      </c>
      <c r="AE168" s="3">
        <v>0</v>
      </c>
      <c r="AF168" s="3">
        <v>0.116550116550117</v>
      </c>
      <c r="AG168" s="3">
        <v>0.24941724941724899</v>
      </c>
      <c r="AH168" s="3">
        <v>0</v>
      </c>
      <c r="AI168" s="3">
        <v>0</v>
      </c>
      <c r="AJ168" s="3">
        <v>0</v>
      </c>
      <c r="AK168" s="3">
        <v>0</v>
      </c>
      <c r="AL168" s="3">
        <v>0.241258741258741</v>
      </c>
      <c r="AM168" s="3">
        <v>0.75874125874125897</v>
      </c>
      <c r="AN168" s="3">
        <v>0.73340068041666695</v>
      </c>
      <c r="AO168" s="3">
        <v>0.70977396971698103</v>
      </c>
      <c r="AP168" s="3">
        <v>0.68508064249056599</v>
      </c>
      <c r="AQ168" s="3"/>
      <c r="AR168" s="3"/>
      <c r="AS168" s="3"/>
      <c r="AT168" s="3"/>
      <c r="AU168" s="3"/>
      <c r="AV168" s="3"/>
      <c r="AW168" s="6"/>
      <c r="AX168" s="6"/>
    </row>
    <row r="169" spans="1:50" x14ac:dyDescent="0.2">
      <c r="A169" s="3" t="s">
        <v>51</v>
      </c>
      <c r="B169" s="3" t="s">
        <v>43</v>
      </c>
      <c r="C169" s="3">
        <v>400972679</v>
      </c>
      <c r="D169" s="3" t="s">
        <v>52</v>
      </c>
      <c r="E169" s="3" t="s">
        <v>53</v>
      </c>
      <c r="F169" s="3" t="s">
        <v>46</v>
      </c>
      <c r="G169" s="3" t="s">
        <v>53</v>
      </c>
      <c r="H169" s="3" t="s">
        <v>47</v>
      </c>
      <c r="I169" s="3" t="s">
        <v>48</v>
      </c>
      <c r="J169" s="20" t="s">
        <v>54</v>
      </c>
      <c r="K169" s="3">
        <v>1.1933174224343401E-3</v>
      </c>
      <c r="L169" s="3">
        <v>419</v>
      </c>
      <c r="M169" s="3">
        <v>-0.32036037649004401</v>
      </c>
      <c r="N169" s="3">
        <v>2.7957931618573402E-4</v>
      </c>
      <c r="O169" s="3">
        <v>8.0305246435056397</v>
      </c>
      <c r="P169" s="3">
        <v>428</v>
      </c>
      <c r="Q169" s="3">
        <v>1</v>
      </c>
      <c r="R169" s="3">
        <v>0</v>
      </c>
      <c r="S169" s="3">
        <v>0</v>
      </c>
      <c r="T169" s="3">
        <v>0</v>
      </c>
      <c r="U169" s="3">
        <v>0</v>
      </c>
      <c r="V169" s="3">
        <v>0</v>
      </c>
      <c r="W169" s="3">
        <v>0</v>
      </c>
      <c r="X169" s="3">
        <v>0</v>
      </c>
      <c r="Y169" s="3">
        <v>0</v>
      </c>
      <c r="Z169" s="3">
        <v>0</v>
      </c>
      <c r="AA169" s="3">
        <v>0</v>
      </c>
      <c r="AB169" s="3">
        <v>0</v>
      </c>
      <c r="AC169" s="3">
        <v>0</v>
      </c>
      <c r="AD169" s="3">
        <v>0</v>
      </c>
      <c r="AE169" s="3">
        <v>2.3310023310023301E-3</v>
      </c>
      <c r="AF169" s="3">
        <v>0.99766899766899797</v>
      </c>
      <c r="AG169" s="3">
        <v>0</v>
      </c>
      <c r="AH169" s="3">
        <v>0</v>
      </c>
      <c r="AI169" s="3">
        <v>0</v>
      </c>
      <c r="AJ169" s="3">
        <v>1.1655011655011701E-3</v>
      </c>
      <c r="AK169" s="3">
        <v>0</v>
      </c>
      <c r="AL169" s="3">
        <v>0.99883449883449904</v>
      </c>
      <c r="AM169" s="3">
        <v>0</v>
      </c>
      <c r="AN169" s="3" t="s">
        <v>55</v>
      </c>
      <c r="AO169" s="3">
        <v>1.0914927800000001</v>
      </c>
      <c r="AP169" s="3">
        <v>0.69591902136363604</v>
      </c>
      <c r="AQ169" s="3"/>
      <c r="AR169" s="3"/>
      <c r="AS169" s="3"/>
      <c r="AT169" s="3"/>
      <c r="AU169" s="3"/>
      <c r="AV169" s="3"/>
      <c r="AW169" s="6"/>
      <c r="AX169" s="6"/>
    </row>
    <row r="170" spans="1:50" x14ac:dyDescent="0.2">
      <c r="A170" s="3" t="s">
        <v>56</v>
      </c>
      <c r="B170" s="3" t="s">
        <v>57</v>
      </c>
      <c r="C170" s="3">
        <v>118524570</v>
      </c>
      <c r="D170" s="3" t="s">
        <v>58</v>
      </c>
      <c r="E170" s="3" t="s">
        <v>46</v>
      </c>
      <c r="F170" s="3" t="s">
        <v>59</v>
      </c>
      <c r="G170" s="3" t="s">
        <v>59</v>
      </c>
      <c r="H170" s="3" t="s">
        <v>47</v>
      </c>
      <c r="I170" s="3" t="s">
        <v>48</v>
      </c>
      <c r="J170" s="20" t="s">
        <v>60</v>
      </c>
      <c r="K170" s="3">
        <v>0.28520286396181399</v>
      </c>
      <c r="L170" s="3">
        <v>419</v>
      </c>
      <c r="M170" s="3">
        <v>2.9328348728348899E-2</v>
      </c>
      <c r="N170" s="20" t="s">
        <v>61</v>
      </c>
      <c r="O170" s="3">
        <v>0</v>
      </c>
      <c r="P170" s="3">
        <v>426</v>
      </c>
      <c r="Q170" s="3">
        <v>0</v>
      </c>
      <c r="R170" s="3">
        <v>0</v>
      </c>
      <c r="S170" s="3">
        <v>0</v>
      </c>
      <c r="T170" s="3">
        <v>0</v>
      </c>
      <c r="U170" s="3">
        <v>0</v>
      </c>
      <c r="V170" s="3">
        <v>3</v>
      </c>
      <c r="W170" s="3">
        <v>0</v>
      </c>
      <c r="X170" s="3">
        <v>0</v>
      </c>
      <c r="Y170" s="3">
        <v>0</v>
      </c>
      <c r="Z170" s="3">
        <v>0</v>
      </c>
      <c r="AA170" s="3">
        <v>0</v>
      </c>
      <c r="AB170" s="3">
        <v>0</v>
      </c>
      <c r="AC170" s="3">
        <v>0</v>
      </c>
      <c r="AD170" s="3">
        <v>0</v>
      </c>
      <c r="AE170" s="3">
        <v>0</v>
      </c>
      <c r="AF170" s="3">
        <v>0.99300699300699302</v>
      </c>
      <c r="AG170" s="3">
        <v>0</v>
      </c>
      <c r="AH170" s="3">
        <v>0</v>
      </c>
      <c r="AI170" s="3">
        <v>6.9930069930069904E-3</v>
      </c>
      <c r="AJ170" s="3">
        <v>0</v>
      </c>
      <c r="AK170" s="3">
        <v>3.4965034965035E-3</v>
      </c>
      <c r="AL170" s="3">
        <v>0.99650349650349701</v>
      </c>
      <c r="AM170" s="3">
        <v>0</v>
      </c>
      <c r="AN170" s="3" t="s">
        <v>55</v>
      </c>
      <c r="AO170" s="3">
        <v>0.69487452000000005</v>
      </c>
      <c r="AP170" s="3">
        <v>0.69687745228365405</v>
      </c>
      <c r="AQ170" s="3"/>
      <c r="AR170" s="3"/>
      <c r="AS170" s="3"/>
      <c r="AT170" s="3"/>
      <c r="AU170" s="3"/>
      <c r="AV170" s="3"/>
      <c r="AW170" s="6"/>
      <c r="AX170" s="6"/>
    </row>
    <row r="171" spans="1:50" x14ac:dyDescent="0.2">
      <c r="A171" s="3" t="s">
        <v>62</v>
      </c>
      <c r="B171" s="3" t="s">
        <v>57</v>
      </c>
      <c r="C171" s="3">
        <v>598048237</v>
      </c>
      <c r="D171" s="3" t="s">
        <v>52</v>
      </c>
      <c r="E171" s="3" t="s">
        <v>46</v>
      </c>
      <c r="F171" s="3" t="s">
        <v>53</v>
      </c>
      <c r="G171" s="3" t="s">
        <v>53</v>
      </c>
      <c r="H171" s="3" t="s">
        <v>47</v>
      </c>
      <c r="I171" s="3" t="s">
        <v>48</v>
      </c>
      <c r="J171" s="20" t="s">
        <v>63</v>
      </c>
      <c r="K171" s="3">
        <v>0.47016706443914102</v>
      </c>
      <c r="L171" s="3">
        <v>419</v>
      </c>
      <c r="M171" s="3">
        <v>-2.6052389060132498E-2</v>
      </c>
      <c r="N171" s="20" t="s">
        <v>61</v>
      </c>
      <c r="O171" s="20" t="s">
        <v>64</v>
      </c>
      <c r="P171" s="3">
        <v>423</v>
      </c>
      <c r="Q171" s="3">
        <v>6</v>
      </c>
      <c r="R171" s="3">
        <v>0</v>
      </c>
      <c r="S171" s="3">
        <v>0</v>
      </c>
      <c r="T171" s="3">
        <v>0</v>
      </c>
      <c r="U171" s="3">
        <v>0</v>
      </c>
      <c r="V171" s="3">
        <v>0</v>
      </c>
      <c r="W171" s="3">
        <v>0</v>
      </c>
      <c r="X171" s="3">
        <v>0</v>
      </c>
      <c r="Y171" s="3">
        <v>0</v>
      </c>
      <c r="Z171" s="3">
        <v>0</v>
      </c>
      <c r="AA171" s="3">
        <v>0</v>
      </c>
      <c r="AB171" s="3">
        <v>0</v>
      </c>
      <c r="AC171" s="3">
        <v>0</v>
      </c>
      <c r="AD171" s="3">
        <v>0</v>
      </c>
      <c r="AE171" s="3">
        <v>1.3986013986014E-2</v>
      </c>
      <c r="AF171" s="3">
        <v>0.98601398601398604</v>
      </c>
      <c r="AG171" s="3">
        <v>0</v>
      </c>
      <c r="AH171" s="3">
        <v>0</v>
      </c>
      <c r="AI171" s="3">
        <v>0</v>
      </c>
      <c r="AJ171" s="3">
        <v>6.9930069930069904E-3</v>
      </c>
      <c r="AK171" s="3">
        <v>0</v>
      </c>
      <c r="AL171" s="3">
        <v>0.99300699300699302</v>
      </c>
      <c r="AM171" s="3">
        <v>0</v>
      </c>
      <c r="AN171" s="3" t="s">
        <v>55</v>
      </c>
      <c r="AO171" s="3">
        <v>0.65637013499999997</v>
      </c>
      <c r="AP171" s="3">
        <v>0.69745138716707</v>
      </c>
      <c r="AQ171" s="3"/>
      <c r="AR171" s="3"/>
      <c r="AS171" s="3"/>
      <c r="AT171" s="3"/>
      <c r="AU171" s="3"/>
      <c r="AV171" s="3"/>
      <c r="AW171" s="6"/>
      <c r="AX171" s="6"/>
    </row>
    <row r="172" spans="1:50" x14ac:dyDescent="0.2">
      <c r="A172" s="3" t="s">
        <v>65</v>
      </c>
      <c r="B172" s="3" t="s">
        <v>66</v>
      </c>
      <c r="C172" s="3">
        <v>329197898</v>
      </c>
      <c r="D172" s="3" t="s">
        <v>67</v>
      </c>
      <c r="E172" s="3" t="s">
        <v>46</v>
      </c>
      <c r="F172" s="3" t="s">
        <v>53</v>
      </c>
      <c r="G172" s="3" t="s">
        <v>53</v>
      </c>
      <c r="H172" s="3" t="s">
        <v>47</v>
      </c>
      <c r="I172" s="3" t="s">
        <v>48</v>
      </c>
      <c r="J172" s="20" t="s">
        <v>68</v>
      </c>
      <c r="K172" s="3">
        <v>0.44868735083532202</v>
      </c>
      <c r="L172" s="3">
        <v>419</v>
      </c>
      <c r="M172" s="3">
        <v>2.0040312235243701E-2</v>
      </c>
      <c r="N172" s="3">
        <v>5.2366390465628998E-3</v>
      </c>
      <c r="O172" s="3">
        <v>0</v>
      </c>
      <c r="P172" s="3">
        <v>124</v>
      </c>
      <c r="Q172" s="3">
        <v>207</v>
      </c>
      <c r="R172" s="3">
        <v>98</v>
      </c>
      <c r="S172" s="3">
        <v>0</v>
      </c>
      <c r="T172" s="3">
        <v>0</v>
      </c>
      <c r="U172" s="3">
        <v>0</v>
      </c>
      <c r="V172" s="3">
        <v>0</v>
      </c>
      <c r="W172" s="3">
        <v>0</v>
      </c>
      <c r="X172" s="3">
        <v>0</v>
      </c>
      <c r="Y172" s="3">
        <v>0</v>
      </c>
      <c r="Z172" s="3">
        <v>0</v>
      </c>
      <c r="AA172" s="3">
        <v>0</v>
      </c>
      <c r="AB172" s="3">
        <v>0</v>
      </c>
      <c r="AC172" s="3">
        <v>0</v>
      </c>
      <c r="AD172" s="3">
        <v>0.228438228438228</v>
      </c>
      <c r="AE172" s="3">
        <v>0.482517482517482</v>
      </c>
      <c r="AF172" s="3">
        <v>0.28904428904428903</v>
      </c>
      <c r="AG172" s="3">
        <v>0</v>
      </c>
      <c r="AH172" s="3">
        <v>0</v>
      </c>
      <c r="AI172" s="3">
        <v>0</v>
      </c>
      <c r="AJ172" s="3">
        <v>0.46969696969697</v>
      </c>
      <c r="AK172" s="3">
        <v>0</v>
      </c>
      <c r="AL172" s="3">
        <v>0.53030303030303005</v>
      </c>
      <c r="AM172" s="3">
        <v>0</v>
      </c>
      <c r="AN172" s="3">
        <v>0.69979002450819705</v>
      </c>
      <c r="AO172" s="3">
        <v>0.69690273965174099</v>
      </c>
      <c r="AP172" s="3">
        <v>0.69306052135416696</v>
      </c>
      <c r="AQ172" s="3" t="s">
        <v>837</v>
      </c>
      <c r="AR172" s="3" t="s">
        <v>635</v>
      </c>
      <c r="AS172" s="3" t="s">
        <v>635</v>
      </c>
      <c r="AT172" s="3" t="s">
        <v>636</v>
      </c>
      <c r="AU172" s="4">
        <v>1</v>
      </c>
      <c r="AV172" s="5">
        <v>0.94120000000000004</v>
      </c>
      <c r="AW172" s="6"/>
      <c r="AX172" s="6"/>
    </row>
    <row r="173" spans="1:50" x14ac:dyDescent="0.2">
      <c r="A173" s="3" t="s">
        <v>69</v>
      </c>
      <c r="B173" s="3" t="s">
        <v>70</v>
      </c>
      <c r="C173" s="3">
        <v>134934580</v>
      </c>
      <c r="D173" s="3" t="s">
        <v>71</v>
      </c>
      <c r="E173" s="3" t="s">
        <v>45</v>
      </c>
      <c r="F173" s="3" t="s">
        <v>59</v>
      </c>
      <c r="G173" s="3" t="s">
        <v>59</v>
      </c>
      <c r="H173" s="3" t="s">
        <v>47</v>
      </c>
      <c r="I173" s="3" t="s">
        <v>48</v>
      </c>
      <c r="J173" s="20" t="s">
        <v>72</v>
      </c>
      <c r="K173" s="3">
        <v>0.32458233890214799</v>
      </c>
      <c r="L173" s="3">
        <v>419</v>
      </c>
      <c r="M173" s="3">
        <v>-2.2881721504792701E-2</v>
      </c>
      <c r="N173" s="3">
        <v>4.7444507341385398E-4</v>
      </c>
      <c r="O173" s="3">
        <v>1.05338463108377</v>
      </c>
      <c r="P173" s="3">
        <v>0</v>
      </c>
      <c r="Q173" s="3">
        <v>0</v>
      </c>
      <c r="R173" s="3">
        <v>0</v>
      </c>
      <c r="S173" s="3">
        <v>0</v>
      </c>
      <c r="T173" s="3">
        <v>406</v>
      </c>
      <c r="U173" s="3">
        <v>1</v>
      </c>
      <c r="V173" s="3">
        <v>0</v>
      </c>
      <c r="W173" s="3">
        <v>22</v>
      </c>
      <c r="X173" s="3">
        <v>0</v>
      </c>
      <c r="Y173" s="3">
        <v>0</v>
      </c>
      <c r="Z173" s="3">
        <v>5.1282051282051301E-2</v>
      </c>
      <c r="AA173" s="3">
        <v>0.94638694638694598</v>
      </c>
      <c r="AB173" s="3">
        <v>2.3310023310023301E-3</v>
      </c>
      <c r="AC173" s="3">
        <v>0</v>
      </c>
      <c r="AD173" s="3">
        <v>0</v>
      </c>
      <c r="AE173" s="3">
        <v>0</v>
      </c>
      <c r="AF173" s="3">
        <v>0</v>
      </c>
      <c r="AG173" s="3">
        <v>0</v>
      </c>
      <c r="AH173" s="3">
        <v>0</v>
      </c>
      <c r="AI173" s="3">
        <v>0</v>
      </c>
      <c r="AJ173" s="3">
        <v>0</v>
      </c>
      <c r="AK173" s="3">
        <v>2.7972027972028E-2</v>
      </c>
      <c r="AL173" s="3">
        <v>0</v>
      </c>
      <c r="AM173" s="3">
        <v>0.97202797202797198</v>
      </c>
      <c r="AN173" s="3">
        <v>0.80149115000000004</v>
      </c>
      <c r="AO173" s="3">
        <v>0.69255211900000002</v>
      </c>
      <c r="AP173" s="3">
        <v>0.69681685974874397</v>
      </c>
      <c r="AQ173" s="3"/>
      <c r="AR173" s="3"/>
      <c r="AS173" s="3"/>
      <c r="AT173" s="3"/>
      <c r="AU173" s="3"/>
      <c r="AV173" s="3"/>
      <c r="AW173" s="6"/>
      <c r="AX173" s="6"/>
    </row>
    <row r="174" spans="1:50" x14ac:dyDescent="0.2">
      <c r="A174" s="3" t="s">
        <v>73</v>
      </c>
      <c r="B174" s="3" t="s">
        <v>74</v>
      </c>
      <c r="C174" s="3">
        <v>7732815</v>
      </c>
      <c r="D174" s="3" t="s">
        <v>44</v>
      </c>
      <c r="E174" s="3" t="s">
        <v>46</v>
      </c>
      <c r="F174" s="3" t="s">
        <v>45</v>
      </c>
      <c r="G174" s="3" t="s">
        <v>46</v>
      </c>
      <c r="H174" s="3" t="s">
        <v>47</v>
      </c>
      <c r="I174" s="3" t="s">
        <v>48</v>
      </c>
      <c r="J174" s="20" t="s">
        <v>75</v>
      </c>
      <c r="K174" s="3">
        <v>6.2052505966587103E-2</v>
      </c>
      <c r="L174" s="3">
        <v>419</v>
      </c>
      <c r="M174" s="3">
        <v>-3.8726355560465102E-2</v>
      </c>
      <c r="N174" s="3">
        <v>5.2366390465628998E-3</v>
      </c>
      <c r="O174" s="3">
        <v>0</v>
      </c>
      <c r="P174" s="3">
        <v>33</v>
      </c>
      <c r="Q174" s="3">
        <v>0</v>
      </c>
      <c r="R174" s="3">
        <v>0</v>
      </c>
      <c r="S174" s="3">
        <v>265</v>
      </c>
      <c r="T174" s="3">
        <v>131</v>
      </c>
      <c r="U174" s="3">
        <v>0</v>
      </c>
      <c r="V174" s="3">
        <v>0</v>
      </c>
      <c r="W174" s="3">
        <v>0</v>
      </c>
      <c r="X174" s="3">
        <v>0</v>
      </c>
      <c r="Y174" s="3">
        <v>0</v>
      </c>
      <c r="Z174" s="3">
        <v>0</v>
      </c>
      <c r="AA174" s="3">
        <v>0.30536130536130501</v>
      </c>
      <c r="AB174" s="3">
        <v>0</v>
      </c>
      <c r="AC174" s="3">
        <v>0</v>
      </c>
      <c r="AD174" s="3">
        <v>0</v>
      </c>
      <c r="AE174" s="3">
        <v>0</v>
      </c>
      <c r="AF174" s="3">
        <v>7.69230769230769E-2</v>
      </c>
      <c r="AG174" s="3">
        <v>0.617715617715618</v>
      </c>
      <c r="AH174" s="3">
        <v>0</v>
      </c>
      <c r="AI174" s="3">
        <v>0</v>
      </c>
      <c r="AJ174" s="3">
        <v>0</v>
      </c>
      <c r="AK174" s="3">
        <v>0</v>
      </c>
      <c r="AL174" s="3">
        <v>0.38578088578088598</v>
      </c>
      <c r="AM174" s="3">
        <v>0.61421911421911402</v>
      </c>
      <c r="AN174" s="3">
        <v>0.68391577354838695</v>
      </c>
      <c r="AO174" s="3">
        <v>0.69663285463320501</v>
      </c>
      <c r="AP174" s="3">
        <v>0.70043678589147296</v>
      </c>
      <c r="AQ174" s="3"/>
      <c r="AR174" s="3"/>
      <c r="AS174" s="3"/>
      <c r="AT174" s="3"/>
      <c r="AU174" s="3"/>
      <c r="AV174" s="3"/>
      <c r="AW174" s="6"/>
      <c r="AX174" s="6"/>
    </row>
    <row r="175" spans="1:50" ht="126" x14ac:dyDescent="0.2">
      <c r="A175" s="3" t="s">
        <v>76</v>
      </c>
      <c r="B175" s="3" t="s">
        <v>77</v>
      </c>
      <c r="C175" s="3">
        <v>172479310</v>
      </c>
      <c r="D175" s="3" t="s">
        <v>52</v>
      </c>
      <c r="E175" s="3" t="s">
        <v>46</v>
      </c>
      <c r="F175" s="3" t="s">
        <v>53</v>
      </c>
      <c r="G175" s="3" t="s">
        <v>53</v>
      </c>
      <c r="H175" s="3" t="s">
        <v>47</v>
      </c>
      <c r="I175" s="3" t="s">
        <v>48</v>
      </c>
      <c r="J175" s="20" t="s">
        <v>78</v>
      </c>
      <c r="K175" s="3">
        <v>0.28520286396181399</v>
      </c>
      <c r="L175" s="3">
        <v>419</v>
      </c>
      <c r="M175" s="3">
        <v>-3.5628875793572802E-2</v>
      </c>
      <c r="N175" s="20" t="s">
        <v>79</v>
      </c>
      <c r="O175" s="3">
        <v>2.55234555760445</v>
      </c>
      <c r="P175" s="3">
        <v>328</v>
      </c>
      <c r="Q175" s="3">
        <v>93</v>
      </c>
      <c r="R175" s="3">
        <v>8</v>
      </c>
      <c r="S175" s="3">
        <v>0</v>
      </c>
      <c r="T175" s="3">
        <v>0</v>
      </c>
      <c r="U175" s="3">
        <v>0</v>
      </c>
      <c r="V175" s="3">
        <v>0</v>
      </c>
      <c r="W175" s="3">
        <v>0</v>
      </c>
      <c r="X175" s="3">
        <v>0</v>
      </c>
      <c r="Y175" s="3">
        <v>0</v>
      </c>
      <c r="Z175" s="3">
        <v>0</v>
      </c>
      <c r="AA175" s="3">
        <v>0</v>
      </c>
      <c r="AB175" s="3">
        <v>0</v>
      </c>
      <c r="AC175" s="3">
        <v>0</v>
      </c>
      <c r="AD175" s="3">
        <v>1.8648018648018599E-2</v>
      </c>
      <c r="AE175" s="3">
        <v>0.21678321678321699</v>
      </c>
      <c r="AF175" s="3">
        <v>0.76456876456876499</v>
      </c>
      <c r="AG175" s="3">
        <v>0</v>
      </c>
      <c r="AH175" s="3">
        <v>0</v>
      </c>
      <c r="AI175" s="3">
        <v>0</v>
      </c>
      <c r="AJ175" s="3">
        <v>0.12703962703962701</v>
      </c>
      <c r="AK175" s="3">
        <v>0</v>
      </c>
      <c r="AL175" s="3">
        <v>0.87296037296037299</v>
      </c>
      <c r="AM175" s="3">
        <v>0</v>
      </c>
      <c r="AN175" s="3">
        <v>0.74907934750000005</v>
      </c>
      <c r="AO175" s="3">
        <v>0.71764348340659301</v>
      </c>
      <c r="AP175" s="3">
        <v>0.68964828731250005</v>
      </c>
      <c r="AQ175" s="3" t="s">
        <v>838</v>
      </c>
      <c r="AR175" s="3" t="s">
        <v>839</v>
      </c>
      <c r="AS175" s="3" t="s">
        <v>913</v>
      </c>
      <c r="AT175" s="3"/>
      <c r="AU175" s="3"/>
      <c r="AV175" s="3"/>
      <c r="AW175" s="11" t="s">
        <v>840</v>
      </c>
      <c r="AX175" s="6" t="s">
        <v>841</v>
      </c>
    </row>
    <row r="176" spans="1:50" ht="56" x14ac:dyDescent="0.2">
      <c r="A176" s="3" t="s">
        <v>80</v>
      </c>
      <c r="B176" s="3" t="s">
        <v>81</v>
      </c>
      <c r="C176" s="3">
        <v>80560865</v>
      </c>
      <c r="D176" s="3" t="s">
        <v>71</v>
      </c>
      <c r="E176" s="3" t="s">
        <v>45</v>
      </c>
      <c r="F176" s="3" t="s">
        <v>59</v>
      </c>
      <c r="G176" s="3" t="s">
        <v>59</v>
      </c>
      <c r="H176" s="3" t="s">
        <v>47</v>
      </c>
      <c r="I176" s="3" t="s">
        <v>48</v>
      </c>
      <c r="J176" s="20" t="s">
        <v>82</v>
      </c>
      <c r="K176" s="3">
        <v>1.1933174224343401E-3</v>
      </c>
      <c r="L176" s="3">
        <v>419</v>
      </c>
      <c r="M176" s="3">
        <v>-0.352994336462984</v>
      </c>
      <c r="N176" s="3">
        <v>7.53087924186865E-4</v>
      </c>
      <c r="O176" s="20" t="s">
        <v>83</v>
      </c>
      <c r="P176" s="3">
        <v>0</v>
      </c>
      <c r="Q176" s="3">
        <v>0</v>
      </c>
      <c r="R176" s="3">
        <v>0</v>
      </c>
      <c r="S176" s="3">
        <v>0</v>
      </c>
      <c r="T176" s="3">
        <v>188</v>
      </c>
      <c r="U176" s="3">
        <v>67</v>
      </c>
      <c r="V176" s="3">
        <v>0</v>
      </c>
      <c r="W176" s="3">
        <v>174</v>
      </c>
      <c r="X176" s="3">
        <v>0</v>
      </c>
      <c r="Y176" s="3">
        <v>0</v>
      </c>
      <c r="Z176" s="3">
        <v>0.40559440559440602</v>
      </c>
      <c r="AA176" s="3">
        <v>0.43822843822843799</v>
      </c>
      <c r="AB176" s="3">
        <v>0.156177156177156</v>
      </c>
      <c r="AC176" s="3">
        <v>0</v>
      </c>
      <c r="AD176" s="3">
        <v>0</v>
      </c>
      <c r="AE176" s="3">
        <v>0</v>
      </c>
      <c r="AF176" s="3">
        <v>0</v>
      </c>
      <c r="AG176" s="3">
        <v>0</v>
      </c>
      <c r="AH176" s="3">
        <v>0</v>
      </c>
      <c r="AI176" s="3">
        <v>0</v>
      </c>
      <c r="AJ176" s="3">
        <v>0</v>
      </c>
      <c r="AK176" s="3">
        <v>0.35897435897435898</v>
      </c>
      <c r="AL176" s="3">
        <v>0</v>
      </c>
      <c r="AM176" s="3">
        <v>0.64102564102564097</v>
      </c>
      <c r="AN176" s="3">
        <v>0.69963511749999996</v>
      </c>
      <c r="AO176" s="3">
        <v>0.6948230174269</v>
      </c>
      <c r="AP176" s="3">
        <v>0.69779489244565196</v>
      </c>
      <c r="AQ176" s="3" t="s">
        <v>914</v>
      </c>
      <c r="AR176" s="3"/>
      <c r="AS176" s="3" t="s">
        <v>842</v>
      </c>
      <c r="AT176" s="3" t="s">
        <v>636</v>
      </c>
      <c r="AU176" s="4">
        <v>1</v>
      </c>
      <c r="AV176" s="5">
        <v>0.89549999999999996</v>
      </c>
      <c r="AW176" s="17" t="s">
        <v>843</v>
      </c>
      <c r="AX176" s="6" t="s">
        <v>844</v>
      </c>
    </row>
    <row r="177" spans="1:50" ht="70" x14ac:dyDescent="0.2">
      <c r="A177" s="3" t="s">
        <v>261</v>
      </c>
      <c r="B177" s="3" t="s">
        <v>43</v>
      </c>
      <c r="C177" s="3">
        <v>535344826</v>
      </c>
      <c r="D177" s="3" t="s">
        <v>67</v>
      </c>
      <c r="E177" s="3" t="s">
        <v>53</v>
      </c>
      <c r="F177" s="3" t="s">
        <v>46</v>
      </c>
      <c r="G177" s="3" t="s">
        <v>46</v>
      </c>
      <c r="H177" s="3" t="s">
        <v>262</v>
      </c>
      <c r="I177" s="3" t="s">
        <v>259</v>
      </c>
      <c r="J177" s="20" t="s">
        <v>263</v>
      </c>
      <c r="K177" s="3">
        <v>0.14054054054054099</v>
      </c>
      <c r="L177" s="3">
        <v>370</v>
      </c>
      <c r="M177" s="3">
        <v>-0.867235748801647</v>
      </c>
      <c r="N177" s="3">
        <v>2.0634573601671798E-3</v>
      </c>
      <c r="O177" s="3">
        <v>1.1435745295146</v>
      </c>
      <c r="P177" s="3">
        <v>12</v>
      </c>
      <c r="Q177" s="3">
        <v>92</v>
      </c>
      <c r="R177" s="3">
        <v>325</v>
      </c>
      <c r="S177" s="3">
        <v>0</v>
      </c>
      <c r="T177" s="3">
        <v>0</v>
      </c>
      <c r="U177" s="3">
        <v>0</v>
      </c>
      <c r="V177" s="3">
        <v>0</v>
      </c>
      <c r="W177" s="3">
        <v>0</v>
      </c>
      <c r="X177" s="3">
        <v>0</v>
      </c>
      <c r="Y177" s="3">
        <v>0</v>
      </c>
      <c r="Z177" s="3">
        <v>0</v>
      </c>
      <c r="AA177" s="3">
        <v>0</v>
      </c>
      <c r="AB177" s="3">
        <v>0</v>
      </c>
      <c r="AC177" s="3">
        <v>0</v>
      </c>
      <c r="AD177" s="3">
        <v>0.75757575757575801</v>
      </c>
      <c r="AE177" s="3">
        <v>0.21445221445221399</v>
      </c>
      <c r="AF177" s="3">
        <v>2.7972027972028E-2</v>
      </c>
      <c r="AG177" s="3">
        <v>0</v>
      </c>
      <c r="AH177" s="3">
        <v>0</v>
      </c>
      <c r="AI177" s="3">
        <v>0</v>
      </c>
      <c r="AJ177" s="3">
        <v>0.86480186480186505</v>
      </c>
      <c r="AK177" s="3">
        <v>0</v>
      </c>
      <c r="AL177" s="3">
        <v>0.13519813519813501</v>
      </c>
      <c r="AM177" s="3">
        <v>0</v>
      </c>
      <c r="AN177" s="3">
        <v>24.683333333333302</v>
      </c>
      <c r="AO177" s="3">
        <v>23.6675</v>
      </c>
      <c r="AP177" s="3">
        <v>23.616726618704998</v>
      </c>
      <c r="AQ177" s="3" t="s">
        <v>914</v>
      </c>
      <c r="AR177" s="3"/>
      <c r="AS177" s="3" t="s">
        <v>845</v>
      </c>
      <c r="AT177" s="3" t="s">
        <v>636</v>
      </c>
      <c r="AU177" s="4">
        <v>0.83</v>
      </c>
      <c r="AV177" s="5">
        <v>0.85209999999999997</v>
      </c>
      <c r="AW177" s="8" t="s">
        <v>846</v>
      </c>
      <c r="AX177" s="6" t="s">
        <v>847</v>
      </c>
    </row>
    <row r="178" spans="1:50" ht="98" x14ac:dyDescent="0.2">
      <c r="A178" s="3" t="s">
        <v>264</v>
      </c>
      <c r="B178" s="3" t="s">
        <v>138</v>
      </c>
      <c r="C178" s="3">
        <v>443970274</v>
      </c>
      <c r="D178" s="3" t="s">
        <v>71</v>
      </c>
      <c r="E178" s="3" t="s">
        <v>45</v>
      </c>
      <c r="F178" s="3" t="s">
        <v>59</v>
      </c>
      <c r="G178" s="3" t="s">
        <v>59</v>
      </c>
      <c r="H178" s="3" t="s">
        <v>262</v>
      </c>
      <c r="I178" s="3" t="s">
        <v>259</v>
      </c>
      <c r="J178" s="20" t="s">
        <v>265</v>
      </c>
      <c r="K178" s="3">
        <v>0.116216216216216</v>
      </c>
      <c r="L178" s="3">
        <v>370</v>
      </c>
      <c r="M178" s="3">
        <v>1.0117838202435101</v>
      </c>
      <c r="N178" s="3">
        <v>3.9971401682240802E-3</v>
      </c>
      <c r="O178" s="3">
        <v>0.49257186363903099</v>
      </c>
      <c r="P178" s="3">
        <v>0</v>
      </c>
      <c r="Q178" s="3">
        <v>0</v>
      </c>
      <c r="R178" s="3">
        <v>0</v>
      </c>
      <c r="S178" s="3">
        <v>0</v>
      </c>
      <c r="T178" s="3">
        <v>112</v>
      </c>
      <c r="U178" s="3">
        <v>87</v>
      </c>
      <c r="V178" s="3">
        <v>0</v>
      </c>
      <c r="W178" s="3">
        <v>230</v>
      </c>
      <c r="X178" s="3">
        <v>0</v>
      </c>
      <c r="Y178" s="3">
        <v>0</v>
      </c>
      <c r="Z178" s="3">
        <v>0.53613053613053596</v>
      </c>
      <c r="AA178" s="3">
        <v>0.261072261072261</v>
      </c>
      <c r="AB178" s="3">
        <v>0.20279720279720301</v>
      </c>
      <c r="AC178" s="3">
        <v>0</v>
      </c>
      <c r="AD178" s="3">
        <v>0</v>
      </c>
      <c r="AE178" s="3">
        <v>0</v>
      </c>
      <c r="AF178" s="3">
        <v>0</v>
      </c>
      <c r="AG178" s="3">
        <v>0</v>
      </c>
      <c r="AH178" s="3">
        <v>0</v>
      </c>
      <c r="AI178" s="3">
        <v>0</v>
      </c>
      <c r="AJ178" s="3">
        <v>0</v>
      </c>
      <c r="AK178" s="3">
        <v>0.47086247086247102</v>
      </c>
      <c r="AL178" s="3">
        <v>0</v>
      </c>
      <c r="AM178" s="3">
        <v>0.52913752913752898</v>
      </c>
      <c r="AN178" s="3">
        <v>23.686708860759499</v>
      </c>
      <c r="AO178" s="3">
        <v>23.560621761657998</v>
      </c>
      <c r="AP178" s="3">
        <v>23.842857142857099</v>
      </c>
      <c r="AQ178" s="3" t="s">
        <v>848</v>
      </c>
      <c r="AR178" s="3" t="s">
        <v>849</v>
      </c>
      <c r="AS178" s="3" t="s">
        <v>850</v>
      </c>
      <c r="AT178" s="3" t="s">
        <v>636</v>
      </c>
      <c r="AU178" s="4">
        <v>0.59</v>
      </c>
      <c r="AV178" s="4">
        <v>1</v>
      </c>
      <c r="AW178" s="10" t="s">
        <v>851</v>
      </c>
      <c r="AX178" s="6" t="s">
        <v>852</v>
      </c>
    </row>
    <row r="179" spans="1:50" ht="154" x14ac:dyDescent="0.2">
      <c r="A179" s="3" t="s">
        <v>266</v>
      </c>
      <c r="B179" s="3" t="s">
        <v>123</v>
      </c>
      <c r="C179" s="3">
        <v>182383764</v>
      </c>
      <c r="D179" s="3" t="s">
        <v>85</v>
      </c>
      <c r="E179" s="3" t="s">
        <v>45</v>
      </c>
      <c r="F179" s="3" t="s">
        <v>53</v>
      </c>
      <c r="G179" s="3" t="s">
        <v>45</v>
      </c>
      <c r="H179" s="3" t="s">
        <v>262</v>
      </c>
      <c r="I179" s="3" t="s">
        <v>259</v>
      </c>
      <c r="J179" s="20" t="s">
        <v>267</v>
      </c>
      <c r="K179" s="3">
        <v>0.21216216216216199</v>
      </c>
      <c r="L179" s="3">
        <v>370</v>
      </c>
      <c r="M179" s="3">
        <v>0.743256451019079</v>
      </c>
      <c r="N179" s="3">
        <v>1.2581146385919899E-3</v>
      </c>
      <c r="O179" s="3">
        <v>1.0441419670212899</v>
      </c>
      <c r="P179" s="3">
        <v>0</v>
      </c>
      <c r="Q179" s="3">
        <v>0</v>
      </c>
      <c r="R179" s="3">
        <v>310</v>
      </c>
      <c r="S179" s="3">
        <v>0</v>
      </c>
      <c r="T179" s="3">
        <v>5</v>
      </c>
      <c r="U179" s="3">
        <v>0</v>
      </c>
      <c r="V179" s="3">
        <v>0</v>
      </c>
      <c r="W179" s="3">
        <v>0</v>
      </c>
      <c r="X179" s="3">
        <v>0</v>
      </c>
      <c r="Y179" s="3">
        <v>114</v>
      </c>
      <c r="Z179" s="3">
        <v>0</v>
      </c>
      <c r="AA179" s="3">
        <v>1.1655011655011699E-2</v>
      </c>
      <c r="AB179" s="3">
        <v>0</v>
      </c>
      <c r="AC179" s="3">
        <v>0</v>
      </c>
      <c r="AD179" s="3">
        <v>0.72261072261072301</v>
      </c>
      <c r="AE179" s="3">
        <v>0</v>
      </c>
      <c r="AF179" s="3">
        <v>0</v>
      </c>
      <c r="AG179" s="3">
        <v>0</v>
      </c>
      <c r="AH179" s="3">
        <v>0.26573426573426601</v>
      </c>
      <c r="AI179" s="3">
        <v>0</v>
      </c>
      <c r="AJ179" s="3">
        <v>0.85547785547785504</v>
      </c>
      <c r="AK179" s="3">
        <v>0</v>
      </c>
      <c r="AL179" s="3">
        <v>0</v>
      </c>
      <c r="AM179" s="3">
        <v>0.14452214452214501</v>
      </c>
      <c r="AN179" s="3">
        <v>22.6</v>
      </c>
      <c r="AO179" s="3">
        <v>23.8686868686869</v>
      </c>
      <c r="AP179" s="3">
        <v>23.605451127819499</v>
      </c>
      <c r="AQ179" s="3" t="s">
        <v>853</v>
      </c>
      <c r="AR179" s="3" t="s">
        <v>854</v>
      </c>
      <c r="AS179" s="3" t="s">
        <v>855</v>
      </c>
      <c r="AT179" s="3" t="s">
        <v>636</v>
      </c>
      <c r="AU179" s="4">
        <v>1</v>
      </c>
      <c r="AV179" s="5">
        <v>0.995</v>
      </c>
      <c r="AW179" s="10" t="s">
        <v>856</v>
      </c>
      <c r="AX179" s="6" t="s">
        <v>930</v>
      </c>
    </row>
    <row r="180" spans="1:50" ht="84" x14ac:dyDescent="0.2">
      <c r="A180" s="3" t="s">
        <v>268</v>
      </c>
      <c r="B180" s="3" t="s">
        <v>123</v>
      </c>
      <c r="C180" s="3">
        <v>233909510</v>
      </c>
      <c r="D180" s="3" t="s">
        <v>71</v>
      </c>
      <c r="E180" s="3" t="s">
        <v>45</v>
      </c>
      <c r="F180" s="3" t="s">
        <v>59</v>
      </c>
      <c r="G180" s="3" t="s">
        <v>59</v>
      </c>
      <c r="H180" s="3" t="s">
        <v>262</v>
      </c>
      <c r="I180" s="3" t="s">
        <v>259</v>
      </c>
      <c r="J180" s="20" t="s">
        <v>269</v>
      </c>
      <c r="K180" s="3">
        <v>0.231081081081081</v>
      </c>
      <c r="L180" s="3">
        <v>370</v>
      </c>
      <c r="M180" s="3">
        <v>0.74346455730648098</v>
      </c>
      <c r="N180" s="3">
        <v>2.4024198320111E-4</v>
      </c>
      <c r="O180" s="20" t="s">
        <v>270</v>
      </c>
      <c r="P180" s="3">
        <v>0</v>
      </c>
      <c r="Q180" s="3">
        <v>0</v>
      </c>
      <c r="R180" s="3">
        <v>0</v>
      </c>
      <c r="S180" s="3">
        <v>0</v>
      </c>
      <c r="T180" s="3">
        <v>220</v>
      </c>
      <c r="U180" s="3">
        <v>44</v>
      </c>
      <c r="V180" s="3">
        <v>0</v>
      </c>
      <c r="W180" s="3">
        <v>165</v>
      </c>
      <c r="X180" s="3">
        <v>0</v>
      </c>
      <c r="Y180" s="3">
        <v>0</v>
      </c>
      <c r="Z180" s="3">
        <v>0.38461538461538503</v>
      </c>
      <c r="AA180" s="3">
        <v>0.512820512820513</v>
      </c>
      <c r="AB180" s="3">
        <v>0.102564102564103</v>
      </c>
      <c r="AC180" s="3">
        <v>0</v>
      </c>
      <c r="AD180" s="3">
        <v>0</v>
      </c>
      <c r="AE180" s="3">
        <v>0</v>
      </c>
      <c r="AF180" s="3">
        <v>0</v>
      </c>
      <c r="AG180" s="3">
        <v>0</v>
      </c>
      <c r="AH180" s="3">
        <v>0</v>
      </c>
      <c r="AI180" s="3">
        <v>0</v>
      </c>
      <c r="AJ180" s="3">
        <v>0</v>
      </c>
      <c r="AK180" s="3">
        <v>0.29487179487179499</v>
      </c>
      <c r="AL180" s="3">
        <v>0</v>
      </c>
      <c r="AM180" s="3">
        <v>0.70512820512820495</v>
      </c>
      <c r="AN180" s="3">
        <v>23.318055555555599</v>
      </c>
      <c r="AO180" s="3">
        <v>23.737062937062898</v>
      </c>
      <c r="AP180" s="3">
        <v>23.671204188481699</v>
      </c>
      <c r="AQ180" s="3" t="s">
        <v>857</v>
      </c>
      <c r="AR180" s="3" t="s">
        <v>858</v>
      </c>
      <c r="AS180" s="3" t="s">
        <v>635</v>
      </c>
      <c r="AT180" s="3" t="s">
        <v>636</v>
      </c>
      <c r="AU180" s="4">
        <v>0.75</v>
      </c>
      <c r="AV180" s="5">
        <v>0.78149999999999997</v>
      </c>
      <c r="AW180" s="8" t="s">
        <v>859</v>
      </c>
      <c r="AX180" s="6" t="s">
        <v>860</v>
      </c>
    </row>
    <row r="181" spans="1:50" x14ac:dyDescent="0.2">
      <c r="A181" s="3" t="s">
        <v>271</v>
      </c>
      <c r="B181" s="3" t="s">
        <v>97</v>
      </c>
      <c r="C181" s="3">
        <v>60814509</v>
      </c>
      <c r="D181" s="3" t="s">
        <v>52</v>
      </c>
      <c r="E181" s="3" t="s">
        <v>46</v>
      </c>
      <c r="F181" s="3" t="s">
        <v>53</v>
      </c>
      <c r="G181" s="3" t="s">
        <v>53</v>
      </c>
      <c r="H181" s="3" t="s">
        <v>262</v>
      </c>
      <c r="I181" s="3" t="s">
        <v>259</v>
      </c>
      <c r="J181" s="20" t="s">
        <v>272</v>
      </c>
      <c r="K181" s="3">
        <v>0.36351351351351302</v>
      </c>
      <c r="L181" s="3">
        <v>370</v>
      </c>
      <c r="M181" s="3">
        <v>0.93031966253814202</v>
      </c>
      <c r="N181" s="20" t="s">
        <v>273</v>
      </c>
      <c r="O181" s="3">
        <v>36.335740544604299</v>
      </c>
      <c r="P181" s="3">
        <v>406</v>
      </c>
      <c r="Q181" s="3">
        <v>16</v>
      </c>
      <c r="R181" s="3">
        <v>7</v>
      </c>
      <c r="S181" s="3">
        <v>0</v>
      </c>
      <c r="T181" s="3">
        <v>0</v>
      </c>
      <c r="U181" s="3">
        <v>0</v>
      </c>
      <c r="V181" s="3">
        <v>0</v>
      </c>
      <c r="W181" s="3">
        <v>0</v>
      </c>
      <c r="X181" s="3">
        <v>0</v>
      </c>
      <c r="Y181" s="3">
        <v>0</v>
      </c>
      <c r="Z181" s="3">
        <v>0</v>
      </c>
      <c r="AA181" s="3">
        <v>0</v>
      </c>
      <c r="AB181" s="3">
        <v>0</v>
      </c>
      <c r="AC181" s="3">
        <v>0</v>
      </c>
      <c r="AD181" s="3">
        <v>1.6317016317016299E-2</v>
      </c>
      <c r="AE181" s="3">
        <v>3.7296037296037303E-2</v>
      </c>
      <c r="AF181" s="3">
        <v>0.94638694638694598</v>
      </c>
      <c r="AG181" s="3">
        <v>0</v>
      </c>
      <c r="AH181" s="3">
        <v>0</v>
      </c>
      <c r="AI181" s="3">
        <v>0</v>
      </c>
      <c r="AJ181" s="3">
        <v>3.4965034965035002E-2</v>
      </c>
      <c r="AK181" s="3">
        <v>0</v>
      </c>
      <c r="AL181" s="3">
        <v>0.965034965034965</v>
      </c>
      <c r="AM181" s="3">
        <v>0</v>
      </c>
      <c r="AN181" s="3">
        <v>24.1666666666667</v>
      </c>
      <c r="AO181" s="3">
        <v>23.3466666666667</v>
      </c>
      <c r="AP181" s="3">
        <v>23.667191977077401</v>
      </c>
      <c r="AQ181" s="3"/>
      <c r="AR181" s="3"/>
      <c r="AS181" s="3"/>
      <c r="AT181" s="3"/>
      <c r="AU181" s="3"/>
      <c r="AV181" s="3"/>
      <c r="AW181" s="6"/>
      <c r="AX181" s="6"/>
    </row>
    <row r="182" spans="1:50" ht="140" x14ac:dyDescent="0.2">
      <c r="A182" s="3" t="s">
        <v>274</v>
      </c>
      <c r="B182" s="3" t="s">
        <v>70</v>
      </c>
      <c r="C182" s="3">
        <v>431676369</v>
      </c>
      <c r="D182" s="3" t="s">
        <v>127</v>
      </c>
      <c r="E182" s="3" t="s">
        <v>45</v>
      </c>
      <c r="F182" s="3" t="s">
        <v>53</v>
      </c>
      <c r="G182" s="3" t="s">
        <v>53</v>
      </c>
      <c r="H182" s="3" t="s">
        <v>262</v>
      </c>
      <c r="I182" s="3" t="s">
        <v>259</v>
      </c>
      <c r="J182" s="20" t="s">
        <v>275</v>
      </c>
      <c r="K182" s="3">
        <v>0.21891891891891899</v>
      </c>
      <c r="L182" s="3">
        <v>370</v>
      </c>
      <c r="M182" s="3">
        <v>0.70501475233572797</v>
      </c>
      <c r="N182" s="3">
        <v>6.5840402405270403E-3</v>
      </c>
      <c r="O182" s="20" t="s">
        <v>276</v>
      </c>
      <c r="P182" s="3">
        <v>0</v>
      </c>
      <c r="Q182" s="3">
        <v>0</v>
      </c>
      <c r="R182" s="3">
        <v>15</v>
      </c>
      <c r="S182" s="3">
        <v>0</v>
      </c>
      <c r="T182" s="3">
        <v>263</v>
      </c>
      <c r="U182" s="3">
        <v>0</v>
      </c>
      <c r="V182" s="3">
        <v>0</v>
      </c>
      <c r="W182" s="3">
        <v>0</v>
      </c>
      <c r="X182" s="3">
        <v>0</v>
      </c>
      <c r="Y182" s="3">
        <v>151</v>
      </c>
      <c r="Z182" s="3">
        <v>0</v>
      </c>
      <c r="AA182" s="3">
        <v>0.61305361305361294</v>
      </c>
      <c r="AB182" s="3">
        <v>0</v>
      </c>
      <c r="AC182" s="3">
        <v>0</v>
      </c>
      <c r="AD182" s="3">
        <v>3.4965034965035002E-2</v>
      </c>
      <c r="AE182" s="3">
        <v>0</v>
      </c>
      <c r="AF182" s="3">
        <v>0</v>
      </c>
      <c r="AG182" s="3">
        <v>0</v>
      </c>
      <c r="AH182" s="3">
        <v>0.351981351981352</v>
      </c>
      <c r="AI182" s="3">
        <v>0</v>
      </c>
      <c r="AJ182" s="3">
        <v>0.210955710955711</v>
      </c>
      <c r="AK182" s="3">
        <v>0</v>
      </c>
      <c r="AL182" s="3">
        <v>0</v>
      </c>
      <c r="AM182" s="3">
        <v>0.78904428904428903</v>
      </c>
      <c r="AN182" s="3">
        <v>24.0615384615385</v>
      </c>
      <c r="AO182" s="3">
        <v>23.405797101449298</v>
      </c>
      <c r="AP182" s="3">
        <v>23.800228310502298</v>
      </c>
      <c r="AQ182" s="3" t="s">
        <v>861</v>
      </c>
      <c r="AR182" s="3" t="s">
        <v>862</v>
      </c>
      <c r="AS182" s="3" t="s">
        <v>863</v>
      </c>
      <c r="AT182" s="3" t="s">
        <v>636</v>
      </c>
      <c r="AU182" s="4">
        <v>1</v>
      </c>
      <c r="AV182" s="5">
        <v>0.89810000000000001</v>
      </c>
      <c r="AW182" s="10" t="s">
        <v>864</v>
      </c>
      <c r="AX182" s="6" t="s">
        <v>931</v>
      </c>
    </row>
    <row r="183" spans="1:50" x14ac:dyDescent="0.2">
      <c r="A183" s="3" t="s">
        <v>277</v>
      </c>
      <c r="B183" s="3" t="s">
        <v>108</v>
      </c>
      <c r="C183" s="3">
        <v>342354337</v>
      </c>
      <c r="D183" s="3" t="s">
        <v>71</v>
      </c>
      <c r="E183" s="3" t="s">
        <v>45</v>
      </c>
      <c r="F183" s="3" t="s">
        <v>59</v>
      </c>
      <c r="G183" s="3" t="s">
        <v>59</v>
      </c>
      <c r="H183" s="3" t="s">
        <v>262</v>
      </c>
      <c r="I183" s="3" t="s">
        <v>259</v>
      </c>
      <c r="J183" s="20" t="s">
        <v>278</v>
      </c>
      <c r="K183" s="3">
        <v>0.25270270270270301</v>
      </c>
      <c r="L183" s="3">
        <v>370</v>
      </c>
      <c r="M183" s="3">
        <v>-1.02933073736636</v>
      </c>
      <c r="N183" s="20" t="s">
        <v>279</v>
      </c>
      <c r="O183" s="3">
        <v>0.50768253526915397</v>
      </c>
      <c r="P183" s="3">
        <v>0</v>
      </c>
      <c r="Q183" s="3">
        <v>0</v>
      </c>
      <c r="R183" s="3">
        <v>0</v>
      </c>
      <c r="S183" s="3">
        <v>0</v>
      </c>
      <c r="T183" s="3">
        <v>378</v>
      </c>
      <c r="U183" s="3">
        <v>1</v>
      </c>
      <c r="V183" s="3">
        <v>0</v>
      </c>
      <c r="W183" s="3">
        <v>50</v>
      </c>
      <c r="X183" s="3">
        <v>0</v>
      </c>
      <c r="Y183" s="3">
        <v>0</v>
      </c>
      <c r="Z183" s="3">
        <v>0.116550116550117</v>
      </c>
      <c r="AA183" s="3">
        <v>0.88111888111888104</v>
      </c>
      <c r="AB183" s="3">
        <v>2.3310023310023301E-3</v>
      </c>
      <c r="AC183" s="3">
        <v>0</v>
      </c>
      <c r="AD183" s="3">
        <v>0</v>
      </c>
      <c r="AE183" s="3">
        <v>0</v>
      </c>
      <c r="AF183" s="3">
        <v>0</v>
      </c>
      <c r="AG183" s="3">
        <v>0</v>
      </c>
      <c r="AH183" s="3">
        <v>0</v>
      </c>
      <c r="AI183" s="3">
        <v>0</v>
      </c>
      <c r="AJ183" s="3">
        <v>0</v>
      </c>
      <c r="AK183" s="3">
        <v>6.0606060606060601E-2</v>
      </c>
      <c r="AL183" s="3">
        <v>0</v>
      </c>
      <c r="AM183" s="3">
        <v>0.93939393939394</v>
      </c>
      <c r="AN183" s="3">
        <v>25.2</v>
      </c>
      <c r="AO183" s="3">
        <v>23.995833333333302</v>
      </c>
      <c r="AP183" s="3">
        <v>23.6076323987539</v>
      </c>
      <c r="AQ183" s="3" t="s">
        <v>914</v>
      </c>
      <c r="AR183" s="3"/>
      <c r="AS183" s="3" t="s">
        <v>865</v>
      </c>
      <c r="AT183" s="3" t="s">
        <v>636</v>
      </c>
      <c r="AU183" s="4">
        <v>0.98</v>
      </c>
      <c r="AV183" s="5">
        <v>0.94920000000000004</v>
      </c>
      <c r="AW183" s="6"/>
      <c r="AX183" s="6"/>
    </row>
    <row r="184" spans="1:50" ht="42" x14ac:dyDescent="0.2">
      <c r="A184" s="3" t="s">
        <v>151</v>
      </c>
      <c r="B184" s="3" t="s">
        <v>152</v>
      </c>
      <c r="C184" s="3">
        <v>110440439</v>
      </c>
      <c r="D184" s="3" t="s">
        <v>52</v>
      </c>
      <c r="E184" s="3" t="s">
        <v>46</v>
      </c>
      <c r="F184" s="3" t="s">
        <v>53</v>
      </c>
      <c r="G184" s="3" t="s">
        <v>53</v>
      </c>
      <c r="H184" s="3" t="s">
        <v>153</v>
      </c>
      <c r="I184" s="3" t="s">
        <v>48</v>
      </c>
      <c r="J184" s="20" t="s">
        <v>154</v>
      </c>
      <c r="K184" s="3">
        <v>0.19518072289156599</v>
      </c>
      <c r="L184" s="3">
        <v>415</v>
      </c>
      <c r="M184" s="3">
        <v>-3.7125437777478201E-3</v>
      </c>
      <c r="N184" s="3">
        <v>4.9358280852651896E-3</v>
      </c>
      <c r="O184" s="3">
        <v>2.8933831966421399E-3</v>
      </c>
      <c r="P184" s="3">
        <v>399</v>
      </c>
      <c r="Q184" s="3">
        <v>30</v>
      </c>
      <c r="R184" s="3">
        <v>0</v>
      </c>
      <c r="S184" s="3">
        <v>0</v>
      </c>
      <c r="T184" s="3">
        <v>0</v>
      </c>
      <c r="U184" s="3">
        <v>0</v>
      </c>
      <c r="V184" s="3">
        <v>0</v>
      </c>
      <c r="W184" s="3">
        <v>0</v>
      </c>
      <c r="X184" s="3">
        <v>0</v>
      </c>
      <c r="Y184" s="3">
        <v>0</v>
      </c>
      <c r="Z184" s="3">
        <v>0</v>
      </c>
      <c r="AA184" s="3">
        <v>0</v>
      </c>
      <c r="AB184" s="3">
        <v>0</v>
      </c>
      <c r="AC184" s="3">
        <v>0</v>
      </c>
      <c r="AD184" s="3">
        <v>0</v>
      </c>
      <c r="AE184" s="3">
        <v>6.9930069930069894E-2</v>
      </c>
      <c r="AF184" s="3">
        <v>0.93006993006993</v>
      </c>
      <c r="AG184" s="3">
        <v>0</v>
      </c>
      <c r="AH184" s="3">
        <v>0</v>
      </c>
      <c r="AI184" s="3">
        <v>0</v>
      </c>
      <c r="AJ184" s="3">
        <v>3.4965034965035002E-2</v>
      </c>
      <c r="AK184" s="3">
        <v>0</v>
      </c>
      <c r="AL184" s="3">
        <v>0.965034965034965</v>
      </c>
      <c r="AM184" s="3">
        <v>0</v>
      </c>
      <c r="AN184" s="3" t="s">
        <v>55</v>
      </c>
      <c r="AO184" s="3">
        <v>1.3905423793103401E-2</v>
      </c>
      <c r="AP184" s="3">
        <v>1.55408894818653E-2</v>
      </c>
      <c r="AQ184" s="3" t="s">
        <v>866</v>
      </c>
      <c r="AR184" s="3" t="s">
        <v>867</v>
      </c>
      <c r="AS184" s="3" t="s">
        <v>868</v>
      </c>
      <c r="AT184" s="3" t="s">
        <v>869</v>
      </c>
      <c r="AU184" s="4">
        <v>0.99</v>
      </c>
      <c r="AV184" s="5">
        <v>0.97499999999999998</v>
      </c>
      <c r="AW184" s="10" t="s">
        <v>870</v>
      </c>
      <c r="AX184" s="6" t="s">
        <v>871</v>
      </c>
    </row>
    <row r="185" spans="1:50" x14ac:dyDescent="0.2">
      <c r="A185" s="3" t="s">
        <v>155</v>
      </c>
      <c r="B185" s="3" t="s">
        <v>152</v>
      </c>
      <c r="C185" s="3">
        <v>441485323</v>
      </c>
      <c r="D185" s="3" t="s">
        <v>156</v>
      </c>
      <c r="E185" s="3" t="s">
        <v>59</v>
      </c>
      <c r="F185" s="3" t="s">
        <v>53</v>
      </c>
      <c r="G185" s="3" t="s">
        <v>53</v>
      </c>
      <c r="H185" s="3" t="s">
        <v>153</v>
      </c>
      <c r="I185" s="3" t="s">
        <v>48</v>
      </c>
      <c r="J185" s="20" t="s">
        <v>157</v>
      </c>
      <c r="K185" s="3">
        <v>2.40963855421683E-3</v>
      </c>
      <c r="L185" s="3">
        <v>415</v>
      </c>
      <c r="M185" s="3">
        <v>-5.8885644339680403E-2</v>
      </c>
      <c r="N185" s="20" t="s">
        <v>158</v>
      </c>
      <c r="O185" s="3">
        <v>5.1904660086913896</v>
      </c>
      <c r="P185" s="3">
        <v>0</v>
      </c>
      <c r="Q185" s="3">
        <v>0</v>
      </c>
      <c r="R185" s="3">
        <v>0</v>
      </c>
      <c r="S185" s="3">
        <v>0</v>
      </c>
      <c r="T185" s="3">
        <v>0</v>
      </c>
      <c r="U185" s="3">
        <v>414</v>
      </c>
      <c r="V185" s="3">
        <v>0</v>
      </c>
      <c r="W185" s="3">
        <v>0</v>
      </c>
      <c r="X185" s="3">
        <v>15</v>
      </c>
      <c r="Y185" s="3">
        <v>0</v>
      </c>
      <c r="Z185" s="3">
        <v>0</v>
      </c>
      <c r="AA185" s="3">
        <v>0</v>
      </c>
      <c r="AB185" s="3">
        <v>0.965034965034965</v>
      </c>
      <c r="AC185" s="3">
        <v>3.4965034965035002E-2</v>
      </c>
      <c r="AD185" s="3">
        <v>0</v>
      </c>
      <c r="AE185" s="3">
        <v>0</v>
      </c>
      <c r="AF185" s="3">
        <v>0</v>
      </c>
      <c r="AG185" s="3">
        <v>0</v>
      </c>
      <c r="AH185" s="3">
        <v>0</v>
      </c>
      <c r="AI185" s="3">
        <v>0</v>
      </c>
      <c r="AJ185" s="3">
        <v>1.7482517482517501E-2</v>
      </c>
      <c r="AK185" s="3">
        <v>0.98251748251748205</v>
      </c>
      <c r="AL185" s="3">
        <v>0</v>
      </c>
      <c r="AM185" s="3">
        <v>0</v>
      </c>
      <c r="AN185" s="3" t="s">
        <v>55</v>
      </c>
      <c r="AO185" s="3">
        <v>1.01358933333333E-2</v>
      </c>
      <c r="AP185" s="3">
        <v>1.5625005575E-2</v>
      </c>
      <c r="AQ185" s="3"/>
      <c r="AR185" s="3"/>
      <c r="AS185" s="3"/>
      <c r="AT185" s="3"/>
      <c r="AU185" s="3"/>
      <c r="AV185" s="3"/>
      <c r="AW185" s="6"/>
      <c r="AX185" s="6"/>
    </row>
    <row r="186" spans="1:50" x14ac:dyDescent="0.2">
      <c r="A186" s="3" t="s">
        <v>159</v>
      </c>
      <c r="B186" s="3" t="s">
        <v>160</v>
      </c>
      <c r="C186" s="3">
        <v>69927979</v>
      </c>
      <c r="D186" s="3" t="s">
        <v>127</v>
      </c>
      <c r="E186" s="3" t="s">
        <v>53</v>
      </c>
      <c r="F186" s="3" t="s">
        <v>45</v>
      </c>
      <c r="G186" s="3" t="s">
        <v>53</v>
      </c>
      <c r="H186" s="3" t="s">
        <v>153</v>
      </c>
      <c r="I186" s="3" t="s">
        <v>48</v>
      </c>
      <c r="J186" s="20" t="s">
        <v>161</v>
      </c>
      <c r="K186" s="3">
        <v>4.8192771084337701E-3</v>
      </c>
      <c r="L186" s="3">
        <v>415</v>
      </c>
      <c r="M186" s="3">
        <v>-2.3861532673227E-2</v>
      </c>
      <c r="N186" s="3">
        <v>3.8241632184689198E-3</v>
      </c>
      <c r="O186" s="3">
        <v>12.9335996588048</v>
      </c>
      <c r="P186" s="3">
        <v>0</v>
      </c>
      <c r="Q186" s="3">
        <v>0</v>
      </c>
      <c r="R186" s="3">
        <v>75</v>
      </c>
      <c r="S186" s="3">
        <v>0</v>
      </c>
      <c r="T186" s="3">
        <v>141</v>
      </c>
      <c r="U186" s="3">
        <v>0</v>
      </c>
      <c r="V186" s="3">
        <v>0</v>
      </c>
      <c r="W186" s="3">
        <v>0</v>
      </c>
      <c r="X186" s="3">
        <v>0</v>
      </c>
      <c r="Y186" s="3">
        <v>213</v>
      </c>
      <c r="Z186" s="3">
        <v>0</v>
      </c>
      <c r="AA186" s="3">
        <v>0.32867132867132898</v>
      </c>
      <c r="AB186" s="3">
        <v>0</v>
      </c>
      <c r="AC186" s="3">
        <v>0</v>
      </c>
      <c r="AD186" s="3">
        <v>0.17482517482517501</v>
      </c>
      <c r="AE186" s="3">
        <v>0</v>
      </c>
      <c r="AF186" s="3">
        <v>0</v>
      </c>
      <c r="AG186" s="3">
        <v>0</v>
      </c>
      <c r="AH186" s="3">
        <v>0.49650349650349701</v>
      </c>
      <c r="AI186" s="3">
        <v>0</v>
      </c>
      <c r="AJ186" s="3">
        <v>0.42307692307692302</v>
      </c>
      <c r="AK186" s="3">
        <v>0</v>
      </c>
      <c r="AL186" s="3">
        <v>0</v>
      </c>
      <c r="AM186" s="3">
        <v>0.57692307692307698</v>
      </c>
      <c r="AN186" s="3">
        <v>1.44353977464789E-2</v>
      </c>
      <c r="AO186" s="3">
        <v>1.6268058786407798E-2</v>
      </c>
      <c r="AP186" s="3">
        <v>1.46804875362319E-2</v>
      </c>
      <c r="AQ186" s="3"/>
      <c r="AR186" s="3"/>
      <c r="AS186" s="3"/>
      <c r="AT186" s="3"/>
      <c r="AU186" s="3"/>
      <c r="AV186" s="3"/>
      <c r="AW186" s="6"/>
      <c r="AX186" s="6"/>
    </row>
    <row r="187" spans="1:50" ht="112" x14ac:dyDescent="0.2">
      <c r="A187" s="3" t="s">
        <v>162</v>
      </c>
      <c r="B187" s="3" t="s">
        <v>105</v>
      </c>
      <c r="C187" s="3">
        <v>24099466</v>
      </c>
      <c r="D187" s="3" t="s">
        <v>85</v>
      </c>
      <c r="E187" s="3" t="s">
        <v>53</v>
      </c>
      <c r="F187" s="3" t="s">
        <v>45</v>
      </c>
      <c r="G187" s="3" t="s">
        <v>45</v>
      </c>
      <c r="H187" s="3" t="s">
        <v>153</v>
      </c>
      <c r="I187" s="3" t="s">
        <v>48</v>
      </c>
      <c r="J187" s="20" t="s">
        <v>163</v>
      </c>
      <c r="K187" s="3">
        <v>3.0120481927710899E-2</v>
      </c>
      <c r="L187" s="3">
        <v>415</v>
      </c>
      <c r="M187" s="3">
        <v>-1.05981861375921E-2</v>
      </c>
      <c r="N187" s="3">
        <v>2.2124874555592799E-3</v>
      </c>
      <c r="O187" s="3">
        <v>7.1732257749029804E-2</v>
      </c>
      <c r="P187" s="3">
        <v>0</v>
      </c>
      <c r="Q187" s="3">
        <v>0</v>
      </c>
      <c r="R187" s="3">
        <v>393</v>
      </c>
      <c r="S187" s="3">
        <v>0</v>
      </c>
      <c r="T187" s="3">
        <v>0</v>
      </c>
      <c r="U187" s="3">
        <v>0</v>
      </c>
      <c r="V187" s="3">
        <v>0</v>
      </c>
      <c r="W187" s="3">
        <v>0</v>
      </c>
      <c r="X187" s="3">
        <v>0</v>
      </c>
      <c r="Y187" s="3">
        <v>36</v>
      </c>
      <c r="Z187" s="3">
        <v>0</v>
      </c>
      <c r="AA187" s="3">
        <v>0</v>
      </c>
      <c r="AB187" s="3">
        <v>0</v>
      </c>
      <c r="AC187" s="3">
        <v>0</v>
      </c>
      <c r="AD187" s="3">
        <v>0.91608391608391604</v>
      </c>
      <c r="AE187" s="3">
        <v>0</v>
      </c>
      <c r="AF187" s="3">
        <v>0</v>
      </c>
      <c r="AG187" s="3">
        <v>0</v>
      </c>
      <c r="AH187" s="3">
        <v>8.3916083916083906E-2</v>
      </c>
      <c r="AI187" s="3">
        <v>0</v>
      </c>
      <c r="AJ187" s="3">
        <v>0.95804195804195802</v>
      </c>
      <c r="AK187" s="3">
        <v>0</v>
      </c>
      <c r="AL187" s="3">
        <v>0</v>
      </c>
      <c r="AM187" s="3">
        <v>4.1958041958042001E-2</v>
      </c>
      <c r="AN187" s="3" t="s">
        <v>55</v>
      </c>
      <c r="AO187" s="3">
        <v>1.41375183333333E-2</v>
      </c>
      <c r="AP187" s="3">
        <v>1.5549050052770399E-2</v>
      </c>
      <c r="AQ187" s="3" t="s">
        <v>872</v>
      </c>
      <c r="AR187" s="3" t="s">
        <v>873</v>
      </c>
      <c r="AS187" s="3" t="s">
        <v>635</v>
      </c>
      <c r="AT187" s="3" t="s">
        <v>636</v>
      </c>
      <c r="AU187" s="4">
        <v>1</v>
      </c>
      <c r="AV187" s="5">
        <v>0.95050000000000001</v>
      </c>
      <c r="AW187" s="8" t="s">
        <v>874</v>
      </c>
      <c r="AX187" s="6" t="s">
        <v>932</v>
      </c>
    </row>
    <row r="188" spans="1:50" ht="98" x14ac:dyDescent="0.2">
      <c r="A188" s="3" t="s">
        <v>164</v>
      </c>
      <c r="B188" s="3" t="s">
        <v>70</v>
      </c>
      <c r="C188" s="3">
        <v>133393354</v>
      </c>
      <c r="D188" s="3" t="s">
        <v>71</v>
      </c>
      <c r="E188" s="3" t="s">
        <v>45</v>
      </c>
      <c r="F188" s="3" t="s">
        <v>59</v>
      </c>
      <c r="G188" s="3" t="s">
        <v>59</v>
      </c>
      <c r="H188" s="3" t="s">
        <v>153</v>
      </c>
      <c r="I188" s="3" t="s">
        <v>48</v>
      </c>
      <c r="J188" s="20" t="s">
        <v>165</v>
      </c>
      <c r="K188" s="3">
        <v>7.9518072289156597E-2</v>
      </c>
      <c r="L188" s="3">
        <v>415</v>
      </c>
      <c r="M188" s="3">
        <v>-5.6746014871326403E-3</v>
      </c>
      <c r="N188" s="3">
        <v>6.5659109756628998E-3</v>
      </c>
      <c r="O188" s="3">
        <v>12.3885846130887</v>
      </c>
      <c r="P188" s="3">
        <v>0</v>
      </c>
      <c r="Q188" s="3">
        <v>0</v>
      </c>
      <c r="R188" s="3">
        <v>0</v>
      </c>
      <c r="S188" s="3">
        <v>0</v>
      </c>
      <c r="T188" s="3">
        <v>154</v>
      </c>
      <c r="U188" s="3">
        <v>99</v>
      </c>
      <c r="V188" s="3">
        <v>0</v>
      </c>
      <c r="W188" s="3">
        <v>176</v>
      </c>
      <c r="X188" s="3">
        <v>0</v>
      </c>
      <c r="Y188" s="3">
        <v>0</v>
      </c>
      <c r="Z188" s="3">
        <v>0.41025641025641002</v>
      </c>
      <c r="AA188" s="3">
        <v>0.35897435897435898</v>
      </c>
      <c r="AB188" s="3">
        <v>0.230769230769231</v>
      </c>
      <c r="AC188" s="3">
        <v>0</v>
      </c>
      <c r="AD188" s="3">
        <v>0</v>
      </c>
      <c r="AE188" s="3">
        <v>0</v>
      </c>
      <c r="AF188" s="3">
        <v>0</v>
      </c>
      <c r="AG188" s="3">
        <v>0</v>
      </c>
      <c r="AH188" s="3">
        <v>0</v>
      </c>
      <c r="AI188" s="3">
        <v>0</v>
      </c>
      <c r="AJ188" s="3">
        <v>0</v>
      </c>
      <c r="AK188" s="3">
        <v>0.43589743589743601</v>
      </c>
      <c r="AL188" s="3">
        <v>0</v>
      </c>
      <c r="AM188" s="3">
        <v>0.56410256410256399</v>
      </c>
      <c r="AN188" s="3">
        <v>1.4049426315789501E-2</v>
      </c>
      <c r="AO188" s="3">
        <v>1.60671674418605E-2</v>
      </c>
      <c r="AP188" s="3">
        <v>1.55661643918919E-2</v>
      </c>
      <c r="AQ188" s="3" t="s">
        <v>875</v>
      </c>
      <c r="AR188" s="3" t="s">
        <v>876</v>
      </c>
      <c r="AS188" s="3" t="s">
        <v>877</v>
      </c>
      <c r="AT188" s="3" t="s">
        <v>636</v>
      </c>
      <c r="AU188" s="4">
        <v>0.97</v>
      </c>
      <c r="AV188" s="5">
        <v>0.95899999999999996</v>
      </c>
      <c r="AW188" s="8" t="s">
        <v>878</v>
      </c>
      <c r="AX188" s="6" t="s">
        <v>933</v>
      </c>
    </row>
    <row r="189" spans="1:50" x14ac:dyDescent="0.2">
      <c r="A189" s="3" t="s">
        <v>166</v>
      </c>
      <c r="B189" s="3" t="s">
        <v>74</v>
      </c>
      <c r="C189" s="3">
        <v>206124266</v>
      </c>
      <c r="D189" s="3" t="s">
        <v>71</v>
      </c>
      <c r="E189" s="3" t="s">
        <v>45</v>
      </c>
      <c r="F189" s="3" t="s">
        <v>59</v>
      </c>
      <c r="G189" s="3" t="s">
        <v>59</v>
      </c>
      <c r="H189" s="3" t="s">
        <v>153</v>
      </c>
      <c r="I189" s="3" t="s">
        <v>48</v>
      </c>
      <c r="J189" s="20" t="s">
        <v>167</v>
      </c>
      <c r="K189" s="3">
        <v>3.2530120481927702E-2</v>
      </c>
      <c r="L189" s="3">
        <v>415</v>
      </c>
      <c r="M189" s="3">
        <v>-8.6662224266942905E-3</v>
      </c>
      <c r="N189" s="3">
        <v>4.9358280852651896E-3</v>
      </c>
      <c r="O189" s="3">
        <v>6.7392028299547704E-4</v>
      </c>
      <c r="P189" s="3">
        <v>0</v>
      </c>
      <c r="Q189" s="3">
        <v>0</v>
      </c>
      <c r="R189" s="3">
        <v>0</v>
      </c>
      <c r="S189" s="3">
        <v>0</v>
      </c>
      <c r="T189" s="3">
        <v>221</v>
      </c>
      <c r="U189" s="3">
        <v>15</v>
      </c>
      <c r="V189" s="3">
        <v>0</v>
      </c>
      <c r="W189" s="3">
        <v>193</v>
      </c>
      <c r="X189" s="3">
        <v>0</v>
      </c>
      <c r="Y189" s="3">
        <v>0</v>
      </c>
      <c r="Z189" s="3">
        <v>0.44988344988345003</v>
      </c>
      <c r="AA189" s="3">
        <v>0.51515151515151503</v>
      </c>
      <c r="AB189" s="3">
        <v>3.4965034965035002E-2</v>
      </c>
      <c r="AC189" s="3">
        <v>0</v>
      </c>
      <c r="AD189" s="3">
        <v>0</v>
      </c>
      <c r="AE189" s="3">
        <v>0</v>
      </c>
      <c r="AF189" s="3">
        <v>0</v>
      </c>
      <c r="AG189" s="3">
        <v>0</v>
      </c>
      <c r="AH189" s="3">
        <v>0</v>
      </c>
      <c r="AI189" s="3">
        <v>0</v>
      </c>
      <c r="AJ189" s="3">
        <v>0</v>
      </c>
      <c r="AK189" s="3">
        <v>0.25990675990675999</v>
      </c>
      <c r="AL189" s="3">
        <v>0</v>
      </c>
      <c r="AM189" s="3">
        <v>0.74009324009323996</v>
      </c>
      <c r="AN189" s="3">
        <v>1.2106815999999999E-2</v>
      </c>
      <c r="AO189" s="3">
        <v>1.6634769783783799E-2</v>
      </c>
      <c r="AP189" s="3">
        <v>1.4618632465116301E-2</v>
      </c>
      <c r="AQ189" s="3" t="s">
        <v>914</v>
      </c>
      <c r="AR189" s="3"/>
      <c r="AS189" s="3" t="s">
        <v>635</v>
      </c>
      <c r="AT189" s="3" t="s">
        <v>879</v>
      </c>
      <c r="AU189" s="4">
        <v>0.99</v>
      </c>
      <c r="AV189" s="5">
        <v>0.88829999999999998</v>
      </c>
      <c r="AW189" s="6"/>
      <c r="AX189" s="6"/>
    </row>
    <row r="190" spans="1:50" x14ac:dyDescent="0.2">
      <c r="A190" s="3" t="s">
        <v>168</v>
      </c>
      <c r="B190" s="3" t="s">
        <v>169</v>
      </c>
      <c r="C190" s="3">
        <v>102610885</v>
      </c>
      <c r="D190" s="3" t="s">
        <v>109</v>
      </c>
      <c r="E190" s="3" t="s">
        <v>59</v>
      </c>
      <c r="F190" s="3" t="s">
        <v>45</v>
      </c>
      <c r="G190" s="3" t="s">
        <v>45</v>
      </c>
      <c r="H190" s="3" t="s">
        <v>153</v>
      </c>
      <c r="I190" s="3" t="s">
        <v>48</v>
      </c>
      <c r="J190" s="20" t="s">
        <v>170</v>
      </c>
      <c r="K190" s="3">
        <v>3.6144578313253E-3</v>
      </c>
      <c r="L190" s="3">
        <v>415</v>
      </c>
      <c r="M190" s="3">
        <v>-3.5523517537404903E-2</v>
      </c>
      <c r="N190" s="3">
        <v>3.4515195187727202E-4</v>
      </c>
      <c r="O190" s="20" t="s">
        <v>171</v>
      </c>
      <c r="P190" s="3">
        <v>0</v>
      </c>
      <c r="Q190" s="3">
        <v>0</v>
      </c>
      <c r="R190" s="3">
        <v>0</v>
      </c>
      <c r="S190" s="3">
        <v>0</v>
      </c>
      <c r="T190" s="3">
        <v>9</v>
      </c>
      <c r="U190" s="3">
        <v>339</v>
      </c>
      <c r="V190" s="3">
        <v>0</v>
      </c>
      <c r="W190" s="3">
        <v>81</v>
      </c>
      <c r="X190" s="3">
        <v>0</v>
      </c>
      <c r="Y190" s="3">
        <v>0</v>
      </c>
      <c r="Z190" s="3">
        <v>0.188811188811189</v>
      </c>
      <c r="AA190" s="3">
        <v>2.0979020979021001E-2</v>
      </c>
      <c r="AB190" s="3">
        <v>0.79020979020978999</v>
      </c>
      <c r="AC190" s="3">
        <v>0</v>
      </c>
      <c r="AD190" s="3">
        <v>0</v>
      </c>
      <c r="AE190" s="3">
        <v>0</v>
      </c>
      <c r="AF190" s="3">
        <v>0</v>
      </c>
      <c r="AG190" s="3">
        <v>0</v>
      </c>
      <c r="AH190" s="3">
        <v>0</v>
      </c>
      <c r="AI190" s="3">
        <v>0</v>
      </c>
      <c r="AJ190" s="3">
        <v>0</v>
      </c>
      <c r="AK190" s="3">
        <v>0.88461538461538503</v>
      </c>
      <c r="AL190" s="3">
        <v>0</v>
      </c>
      <c r="AM190" s="3">
        <v>0.115384615384615</v>
      </c>
      <c r="AN190" s="3">
        <v>8.9377444444444405E-3</v>
      </c>
      <c r="AO190" s="3">
        <v>1.6864094025974E-2</v>
      </c>
      <c r="AP190" s="3">
        <v>1.5267676869300899E-2</v>
      </c>
      <c r="AQ190" s="3"/>
      <c r="AR190" s="3"/>
      <c r="AS190" s="3"/>
      <c r="AT190" s="3"/>
      <c r="AU190" s="3"/>
      <c r="AV190" s="3"/>
      <c r="AW190" s="6"/>
      <c r="AX190" s="6"/>
    </row>
    <row r="191" spans="1:50" x14ac:dyDescent="0.2">
      <c r="A191" s="3" t="s">
        <v>134</v>
      </c>
      <c r="B191" s="3" t="s">
        <v>90</v>
      </c>
      <c r="C191" s="3">
        <v>680787718</v>
      </c>
      <c r="D191" s="3" t="s">
        <v>109</v>
      </c>
      <c r="E191" s="3" t="s">
        <v>45</v>
      </c>
      <c r="F191" s="3" t="s">
        <v>59</v>
      </c>
      <c r="G191" s="3" t="s">
        <v>45</v>
      </c>
      <c r="H191" s="3" t="s">
        <v>135</v>
      </c>
      <c r="I191" s="3" t="s">
        <v>48</v>
      </c>
      <c r="J191" s="20" t="s">
        <v>136</v>
      </c>
      <c r="K191" s="3">
        <v>7.6650943396226495E-2</v>
      </c>
      <c r="L191" s="3">
        <v>424</v>
      </c>
      <c r="M191" s="3">
        <v>4.6858060516192399</v>
      </c>
      <c r="N191" s="3">
        <v>1.13136774747029E-3</v>
      </c>
      <c r="O191" s="3">
        <v>0</v>
      </c>
      <c r="P191" s="3">
        <v>0</v>
      </c>
      <c r="Q191" s="3">
        <v>0</v>
      </c>
      <c r="R191" s="3">
        <v>0</v>
      </c>
      <c r="S191" s="3">
        <v>0</v>
      </c>
      <c r="T191" s="3">
        <v>28</v>
      </c>
      <c r="U191" s="3">
        <v>256</v>
      </c>
      <c r="V191" s="3">
        <v>0</v>
      </c>
      <c r="W191" s="3">
        <v>145</v>
      </c>
      <c r="X191" s="3">
        <v>0</v>
      </c>
      <c r="Y191" s="3">
        <v>0</v>
      </c>
      <c r="Z191" s="3">
        <v>0.33799533799533799</v>
      </c>
      <c r="AA191" s="3">
        <v>6.5268065268065306E-2</v>
      </c>
      <c r="AB191" s="3">
        <v>0.59673659673659696</v>
      </c>
      <c r="AC191" s="3">
        <v>0</v>
      </c>
      <c r="AD191" s="3">
        <v>0</v>
      </c>
      <c r="AE191" s="3">
        <v>0</v>
      </c>
      <c r="AF191" s="3">
        <v>0</v>
      </c>
      <c r="AG191" s="3">
        <v>0</v>
      </c>
      <c r="AH191" s="3">
        <v>0</v>
      </c>
      <c r="AI191" s="3">
        <v>0</v>
      </c>
      <c r="AJ191" s="3">
        <v>0</v>
      </c>
      <c r="AK191" s="3">
        <v>0.76573426573426595</v>
      </c>
      <c r="AL191" s="3">
        <v>0</v>
      </c>
      <c r="AM191" s="3">
        <v>0.23426573426573399</v>
      </c>
      <c r="AN191" s="3">
        <v>65.5555555555556</v>
      </c>
      <c r="AO191" s="3">
        <v>68.309859154929597</v>
      </c>
      <c r="AP191" s="3">
        <v>69.843137254902004</v>
      </c>
      <c r="AQ191" s="3"/>
      <c r="AR191" s="3"/>
      <c r="AS191" s="3"/>
      <c r="AT191" s="3"/>
      <c r="AU191" s="3"/>
      <c r="AV191" s="3"/>
      <c r="AW191" s="6"/>
      <c r="AX191" s="6"/>
    </row>
    <row r="192" spans="1:50" ht="126" x14ac:dyDescent="0.2">
      <c r="A192" s="3" t="s">
        <v>137</v>
      </c>
      <c r="B192" s="3" t="s">
        <v>138</v>
      </c>
      <c r="C192" s="3">
        <v>4086382</v>
      </c>
      <c r="D192" s="3" t="s">
        <v>139</v>
      </c>
      <c r="E192" s="3" t="s">
        <v>46</v>
      </c>
      <c r="F192" s="3" t="s">
        <v>45</v>
      </c>
      <c r="G192" s="3" t="s">
        <v>45</v>
      </c>
      <c r="H192" s="3" t="s">
        <v>135</v>
      </c>
      <c r="I192" s="3" t="s">
        <v>48</v>
      </c>
      <c r="J192" s="20" t="s">
        <v>140</v>
      </c>
      <c r="K192" s="3">
        <v>0.14622641509434001</v>
      </c>
      <c r="L192" s="3">
        <v>424</v>
      </c>
      <c r="M192" s="3">
        <v>3.3644799662046698</v>
      </c>
      <c r="N192" s="3">
        <v>3.7750069535124697E-4</v>
      </c>
      <c r="O192" s="3">
        <v>1.3481779494552499</v>
      </c>
      <c r="P192" s="3">
        <v>137</v>
      </c>
      <c r="Q192" s="3">
        <v>0</v>
      </c>
      <c r="R192" s="3">
        <v>0</v>
      </c>
      <c r="S192" s="3">
        <v>247</v>
      </c>
      <c r="T192" s="3">
        <v>45</v>
      </c>
      <c r="U192" s="3">
        <v>0</v>
      </c>
      <c r="V192" s="3">
        <v>0</v>
      </c>
      <c r="W192" s="3">
        <v>0</v>
      </c>
      <c r="X192" s="3">
        <v>0</v>
      </c>
      <c r="Y192" s="3">
        <v>0</v>
      </c>
      <c r="Z192" s="3">
        <v>0</v>
      </c>
      <c r="AA192" s="3">
        <v>0.10489510489510501</v>
      </c>
      <c r="AB192" s="3">
        <v>0</v>
      </c>
      <c r="AC192" s="3">
        <v>0</v>
      </c>
      <c r="AD192" s="3">
        <v>0</v>
      </c>
      <c r="AE192" s="3">
        <v>0</v>
      </c>
      <c r="AF192" s="3">
        <v>0.31934731934731903</v>
      </c>
      <c r="AG192" s="3">
        <v>0.57575757575757602</v>
      </c>
      <c r="AH192" s="3">
        <v>0</v>
      </c>
      <c r="AI192" s="3">
        <v>0</v>
      </c>
      <c r="AJ192" s="3">
        <v>0</v>
      </c>
      <c r="AK192" s="3">
        <v>0</v>
      </c>
      <c r="AL192" s="3">
        <v>0.60722610722610704</v>
      </c>
      <c r="AM192" s="3">
        <v>0.39277389277389302</v>
      </c>
      <c r="AN192" s="3">
        <v>69.5555555555556</v>
      </c>
      <c r="AO192" s="3">
        <v>68.641975308642003</v>
      </c>
      <c r="AP192" s="3">
        <v>69.632352941176507</v>
      </c>
      <c r="AQ192" s="3" t="s">
        <v>914</v>
      </c>
      <c r="AR192" s="3"/>
      <c r="AS192" s="3" t="s">
        <v>880</v>
      </c>
      <c r="AT192" s="3" t="s">
        <v>636</v>
      </c>
      <c r="AU192" s="3" t="s">
        <v>881</v>
      </c>
      <c r="AV192" s="3" t="s">
        <v>882</v>
      </c>
      <c r="AW192" s="12" t="s">
        <v>883</v>
      </c>
      <c r="AX192" s="6" t="s">
        <v>934</v>
      </c>
    </row>
    <row r="193" spans="1:50" x14ac:dyDescent="0.2">
      <c r="A193" s="3" t="s">
        <v>280</v>
      </c>
      <c r="B193" s="3" t="s">
        <v>43</v>
      </c>
      <c r="C193" s="3">
        <v>54110313</v>
      </c>
      <c r="D193" s="3" t="s">
        <v>52</v>
      </c>
      <c r="E193" s="3" t="s">
        <v>46</v>
      </c>
      <c r="F193" s="3" t="s">
        <v>53</v>
      </c>
      <c r="G193" s="3" t="s">
        <v>53</v>
      </c>
      <c r="H193" s="3" t="s">
        <v>135</v>
      </c>
      <c r="I193" s="3" t="s">
        <v>259</v>
      </c>
      <c r="J193" s="20" t="s">
        <v>281</v>
      </c>
      <c r="K193" s="3">
        <v>4.6070460704607102E-2</v>
      </c>
      <c r="L193" s="3">
        <v>369</v>
      </c>
      <c r="M193" s="3">
        <v>6.6360808315227997</v>
      </c>
      <c r="N193" s="3">
        <v>7.0599934156005103E-3</v>
      </c>
      <c r="O193" s="3">
        <v>0</v>
      </c>
      <c r="P193" s="3">
        <v>396</v>
      </c>
      <c r="Q193" s="3">
        <v>29</v>
      </c>
      <c r="R193" s="3">
        <v>4</v>
      </c>
      <c r="S193" s="3">
        <v>0</v>
      </c>
      <c r="T193" s="3">
        <v>0</v>
      </c>
      <c r="U193" s="3">
        <v>0</v>
      </c>
      <c r="V193" s="3">
        <v>0</v>
      </c>
      <c r="W193" s="3">
        <v>0</v>
      </c>
      <c r="X193" s="3">
        <v>0</v>
      </c>
      <c r="Y193" s="3">
        <v>0</v>
      </c>
      <c r="Z193" s="3">
        <v>0</v>
      </c>
      <c r="AA193" s="3">
        <v>0</v>
      </c>
      <c r="AB193" s="3">
        <v>0</v>
      </c>
      <c r="AC193" s="3">
        <v>0</v>
      </c>
      <c r="AD193" s="3">
        <v>9.3240093240093205E-3</v>
      </c>
      <c r="AE193" s="3">
        <v>6.75990675990676E-2</v>
      </c>
      <c r="AF193" s="3">
        <v>0.92307692307692302</v>
      </c>
      <c r="AG193" s="3">
        <v>0</v>
      </c>
      <c r="AH193" s="3">
        <v>0</v>
      </c>
      <c r="AI193" s="3">
        <v>0</v>
      </c>
      <c r="AJ193" s="3">
        <v>4.31235431235431E-2</v>
      </c>
      <c r="AK193" s="3">
        <v>0</v>
      </c>
      <c r="AL193" s="3">
        <v>0.95687645687645695</v>
      </c>
      <c r="AM193" s="3">
        <v>0</v>
      </c>
      <c r="AN193" s="3">
        <v>70</v>
      </c>
      <c r="AO193" s="3">
        <v>71.923076923076906</v>
      </c>
      <c r="AP193" s="3">
        <v>73.362831858407105</v>
      </c>
      <c r="AQ193" s="3" t="s">
        <v>884</v>
      </c>
      <c r="AR193" s="3" t="s">
        <v>635</v>
      </c>
      <c r="AS193" s="3" t="s">
        <v>913</v>
      </c>
      <c r="AT193" s="3"/>
      <c r="AU193" s="3"/>
      <c r="AV193" s="3"/>
      <c r="AW193" s="6"/>
      <c r="AX193" s="6"/>
    </row>
    <row r="194" spans="1:50" x14ac:dyDescent="0.2">
      <c r="A194" s="3" t="s">
        <v>282</v>
      </c>
      <c r="B194" s="3" t="s">
        <v>152</v>
      </c>
      <c r="C194" s="3">
        <v>38100803</v>
      </c>
      <c r="D194" s="3" t="s">
        <v>109</v>
      </c>
      <c r="E194" s="3" t="s">
        <v>59</v>
      </c>
      <c r="F194" s="3" t="s">
        <v>45</v>
      </c>
      <c r="G194" s="3" t="s">
        <v>45</v>
      </c>
      <c r="H194" s="3" t="s">
        <v>135</v>
      </c>
      <c r="I194" s="3" t="s">
        <v>259</v>
      </c>
      <c r="J194" s="20" t="s">
        <v>283</v>
      </c>
      <c r="K194" s="3">
        <v>0.26558265582655799</v>
      </c>
      <c r="L194" s="3">
        <v>369</v>
      </c>
      <c r="M194" s="3">
        <v>-3.8919482482773402</v>
      </c>
      <c r="N194" s="3">
        <v>3.6420525566784002E-3</v>
      </c>
      <c r="O194" s="3">
        <v>0</v>
      </c>
      <c r="P194" s="3">
        <v>0</v>
      </c>
      <c r="Q194" s="3">
        <v>0</v>
      </c>
      <c r="R194" s="3">
        <v>0</v>
      </c>
      <c r="S194" s="3">
        <v>0</v>
      </c>
      <c r="T194" s="3">
        <v>0</v>
      </c>
      <c r="U194" s="3">
        <v>403</v>
      </c>
      <c r="V194" s="3">
        <v>0</v>
      </c>
      <c r="W194" s="3">
        <v>26</v>
      </c>
      <c r="X194" s="3">
        <v>0</v>
      </c>
      <c r="Y194" s="3">
        <v>0</v>
      </c>
      <c r="Z194" s="3">
        <v>6.0606060606060601E-2</v>
      </c>
      <c r="AA194" s="3">
        <v>0</v>
      </c>
      <c r="AB194" s="3">
        <v>0.93939393939394</v>
      </c>
      <c r="AC194" s="3">
        <v>0</v>
      </c>
      <c r="AD194" s="3">
        <v>0</v>
      </c>
      <c r="AE194" s="3">
        <v>0</v>
      </c>
      <c r="AF194" s="3">
        <v>0</v>
      </c>
      <c r="AG194" s="3">
        <v>0</v>
      </c>
      <c r="AH194" s="3">
        <v>0</v>
      </c>
      <c r="AI194" s="3">
        <v>0</v>
      </c>
      <c r="AJ194" s="3">
        <v>0</v>
      </c>
      <c r="AK194" s="3">
        <v>0.96969696969696995</v>
      </c>
      <c r="AL194" s="3">
        <v>0</v>
      </c>
      <c r="AM194" s="3">
        <v>3.03030303030303E-2</v>
      </c>
      <c r="AN194" s="3" t="s">
        <v>55</v>
      </c>
      <c r="AO194" s="3">
        <v>75.4166666666667</v>
      </c>
      <c r="AP194" s="3">
        <v>73.072463768115895</v>
      </c>
      <c r="AQ194" s="3"/>
      <c r="AR194" s="3"/>
      <c r="AS194" s="3"/>
      <c r="AT194" s="3"/>
      <c r="AU194" s="3"/>
      <c r="AV194" s="3"/>
      <c r="AW194" s="6"/>
      <c r="AX194" s="6"/>
    </row>
    <row r="195" spans="1:50" ht="140" x14ac:dyDescent="0.2">
      <c r="A195" s="3" t="s">
        <v>284</v>
      </c>
      <c r="B195" s="3" t="s">
        <v>97</v>
      </c>
      <c r="C195" s="3">
        <v>443036385</v>
      </c>
      <c r="D195" s="3" t="s">
        <v>109</v>
      </c>
      <c r="E195" s="3" t="s">
        <v>45</v>
      </c>
      <c r="F195" s="3" t="s">
        <v>59</v>
      </c>
      <c r="G195" s="3" t="s">
        <v>45</v>
      </c>
      <c r="H195" s="3" t="s">
        <v>135</v>
      </c>
      <c r="I195" s="3" t="s">
        <v>259</v>
      </c>
      <c r="J195" s="20" t="s">
        <v>285</v>
      </c>
      <c r="K195" s="3">
        <v>0.29539295392953901</v>
      </c>
      <c r="L195" s="3">
        <v>369</v>
      </c>
      <c r="M195" s="3">
        <v>-4.0777739834736604</v>
      </c>
      <c r="N195" s="20" t="s">
        <v>286</v>
      </c>
      <c r="O195" s="3">
        <v>0</v>
      </c>
      <c r="P195" s="3">
        <v>0</v>
      </c>
      <c r="Q195" s="3">
        <v>0</v>
      </c>
      <c r="R195" s="3">
        <v>0</v>
      </c>
      <c r="S195" s="3">
        <v>0</v>
      </c>
      <c r="T195" s="3">
        <v>92</v>
      </c>
      <c r="U195" s="3">
        <v>140</v>
      </c>
      <c r="V195" s="3">
        <v>0</v>
      </c>
      <c r="W195" s="3">
        <v>197</v>
      </c>
      <c r="X195" s="3">
        <v>0</v>
      </c>
      <c r="Y195" s="3">
        <v>0</v>
      </c>
      <c r="Z195" s="3">
        <v>0.45920745920745898</v>
      </c>
      <c r="AA195" s="3">
        <v>0.21445221445221399</v>
      </c>
      <c r="AB195" s="3">
        <v>0.326340326340326</v>
      </c>
      <c r="AC195" s="3">
        <v>0</v>
      </c>
      <c r="AD195" s="3">
        <v>0</v>
      </c>
      <c r="AE195" s="3">
        <v>0</v>
      </c>
      <c r="AF195" s="3">
        <v>0</v>
      </c>
      <c r="AG195" s="3">
        <v>0</v>
      </c>
      <c r="AH195" s="3">
        <v>0</v>
      </c>
      <c r="AI195" s="3">
        <v>0</v>
      </c>
      <c r="AJ195" s="3">
        <v>0</v>
      </c>
      <c r="AK195" s="3">
        <v>0.55594405594405605</v>
      </c>
      <c r="AL195" s="3">
        <v>0</v>
      </c>
      <c r="AM195" s="3">
        <v>0.44405594405594401</v>
      </c>
      <c r="AN195" s="3">
        <v>72.692307692307693</v>
      </c>
      <c r="AO195" s="3">
        <v>74.1279069767442</v>
      </c>
      <c r="AP195" s="3">
        <v>72.268907563025195</v>
      </c>
      <c r="AQ195" s="3" t="s">
        <v>885</v>
      </c>
      <c r="AR195" s="3" t="s">
        <v>886</v>
      </c>
      <c r="AS195" s="3" t="s">
        <v>887</v>
      </c>
      <c r="AT195" s="3" t="s">
        <v>636</v>
      </c>
      <c r="AU195" s="4">
        <v>1</v>
      </c>
      <c r="AV195" s="5">
        <v>0.96519999999999995</v>
      </c>
      <c r="AW195" s="10" t="s">
        <v>753</v>
      </c>
      <c r="AX195" s="6" t="s">
        <v>754</v>
      </c>
    </row>
    <row r="196" spans="1:50" x14ac:dyDescent="0.2">
      <c r="A196" s="3" t="s">
        <v>287</v>
      </c>
      <c r="B196" s="3" t="s">
        <v>105</v>
      </c>
      <c r="C196" s="3">
        <v>325276373</v>
      </c>
      <c r="D196" s="3" t="s">
        <v>109</v>
      </c>
      <c r="E196" s="3" t="s">
        <v>59</v>
      </c>
      <c r="F196" s="3" t="s">
        <v>45</v>
      </c>
      <c r="G196" s="3" t="s">
        <v>45</v>
      </c>
      <c r="H196" s="3" t="s">
        <v>135</v>
      </c>
      <c r="I196" s="3" t="s">
        <v>259</v>
      </c>
      <c r="J196" s="20" t="s">
        <v>288</v>
      </c>
      <c r="K196" s="3">
        <v>0.237127371273713</v>
      </c>
      <c r="L196" s="3">
        <v>369</v>
      </c>
      <c r="M196" s="3">
        <v>-3.56156305048223</v>
      </c>
      <c r="N196" s="3">
        <v>3.6420525566784002E-3</v>
      </c>
      <c r="O196" s="3">
        <v>0</v>
      </c>
      <c r="P196" s="3">
        <v>0</v>
      </c>
      <c r="Q196" s="3">
        <v>0</v>
      </c>
      <c r="R196" s="3">
        <v>0</v>
      </c>
      <c r="S196" s="3">
        <v>0</v>
      </c>
      <c r="T196" s="3">
        <v>7</v>
      </c>
      <c r="U196" s="3">
        <v>347</v>
      </c>
      <c r="V196" s="3">
        <v>0</v>
      </c>
      <c r="W196" s="3">
        <v>75</v>
      </c>
      <c r="X196" s="3">
        <v>0</v>
      </c>
      <c r="Y196" s="3">
        <v>0</v>
      </c>
      <c r="Z196" s="3">
        <v>0.17482517482517501</v>
      </c>
      <c r="AA196" s="3">
        <v>1.6317016317016299E-2</v>
      </c>
      <c r="AB196" s="3">
        <v>0.808857808857809</v>
      </c>
      <c r="AC196" s="3">
        <v>0</v>
      </c>
      <c r="AD196" s="3">
        <v>0</v>
      </c>
      <c r="AE196" s="3">
        <v>0</v>
      </c>
      <c r="AF196" s="3">
        <v>0</v>
      </c>
      <c r="AG196" s="3">
        <v>0</v>
      </c>
      <c r="AH196" s="3">
        <v>0</v>
      </c>
      <c r="AI196" s="3">
        <v>0</v>
      </c>
      <c r="AJ196" s="3">
        <v>0</v>
      </c>
      <c r="AK196" s="3">
        <v>0.89627039627039595</v>
      </c>
      <c r="AL196" s="3">
        <v>0</v>
      </c>
      <c r="AM196" s="3">
        <v>0.10372960372960401</v>
      </c>
      <c r="AN196" s="3">
        <v>75</v>
      </c>
      <c r="AO196" s="3">
        <v>71.5625</v>
      </c>
      <c r="AP196" s="3">
        <v>73.554817275747496</v>
      </c>
      <c r="AQ196" s="3"/>
      <c r="AR196" s="3"/>
      <c r="AS196" s="3"/>
      <c r="AT196" s="3"/>
      <c r="AU196" s="3"/>
      <c r="AV196" s="3"/>
      <c r="AW196" s="6"/>
      <c r="AX196" s="6"/>
    </row>
    <row r="197" spans="1:50" ht="98" x14ac:dyDescent="0.2">
      <c r="A197" s="3" t="s">
        <v>289</v>
      </c>
      <c r="B197" s="3" t="s">
        <v>108</v>
      </c>
      <c r="C197" s="3">
        <v>334163944</v>
      </c>
      <c r="D197" s="3" t="s">
        <v>156</v>
      </c>
      <c r="E197" s="3" t="s">
        <v>59</v>
      </c>
      <c r="F197" s="3" t="s">
        <v>53</v>
      </c>
      <c r="G197" s="3" t="s">
        <v>53</v>
      </c>
      <c r="H197" s="3" t="s">
        <v>135</v>
      </c>
      <c r="I197" s="3" t="s">
        <v>259</v>
      </c>
      <c r="J197" s="20" t="s">
        <v>290</v>
      </c>
      <c r="K197" s="3">
        <v>4.8780487804878099E-2</v>
      </c>
      <c r="L197" s="3">
        <v>369</v>
      </c>
      <c r="M197" s="3">
        <v>9.6995008526389501</v>
      </c>
      <c r="N197" s="20" t="s">
        <v>291</v>
      </c>
      <c r="O197" s="3">
        <v>0</v>
      </c>
      <c r="P197" s="3">
        <v>0</v>
      </c>
      <c r="Q197" s="3">
        <v>0</v>
      </c>
      <c r="R197" s="3">
        <v>8</v>
      </c>
      <c r="S197" s="3">
        <v>0</v>
      </c>
      <c r="T197" s="3">
        <v>0</v>
      </c>
      <c r="U197" s="3">
        <v>348</v>
      </c>
      <c r="V197" s="3">
        <v>0</v>
      </c>
      <c r="W197" s="3">
        <v>0</v>
      </c>
      <c r="X197" s="3">
        <v>73</v>
      </c>
      <c r="Y197" s="3">
        <v>0</v>
      </c>
      <c r="Z197" s="3">
        <v>0</v>
      </c>
      <c r="AA197" s="3">
        <v>0</v>
      </c>
      <c r="AB197" s="3">
        <v>0.81118881118881103</v>
      </c>
      <c r="AC197" s="3">
        <v>0.17016317016317001</v>
      </c>
      <c r="AD197" s="3">
        <v>1.8648018648018599E-2</v>
      </c>
      <c r="AE197" s="3">
        <v>0</v>
      </c>
      <c r="AF197" s="3">
        <v>0</v>
      </c>
      <c r="AG197" s="3">
        <v>0</v>
      </c>
      <c r="AH197" s="3">
        <v>0</v>
      </c>
      <c r="AI197" s="3">
        <v>0</v>
      </c>
      <c r="AJ197" s="3">
        <v>0.10372960372960401</v>
      </c>
      <c r="AK197" s="3">
        <v>0.89627039627039595</v>
      </c>
      <c r="AL197" s="3">
        <v>0</v>
      </c>
      <c r="AM197" s="3">
        <v>0</v>
      </c>
      <c r="AN197" s="3">
        <v>72.857142857142904</v>
      </c>
      <c r="AO197" s="3">
        <v>70.151515151515198</v>
      </c>
      <c r="AP197" s="3">
        <v>73.918918918918905</v>
      </c>
      <c r="AQ197" s="3" t="s">
        <v>914</v>
      </c>
      <c r="AR197" s="3"/>
      <c r="AS197" s="3" t="s">
        <v>888</v>
      </c>
      <c r="AT197" s="3" t="s">
        <v>636</v>
      </c>
      <c r="AU197" s="4">
        <v>0.98</v>
      </c>
      <c r="AV197" s="5">
        <v>0.92930000000000001</v>
      </c>
      <c r="AW197" s="10" t="s">
        <v>889</v>
      </c>
      <c r="AX197" s="6" t="s">
        <v>890</v>
      </c>
    </row>
    <row r="198" spans="1:50" x14ac:dyDescent="0.2">
      <c r="A198" s="3" t="s">
        <v>213</v>
      </c>
      <c r="B198" s="3" t="s">
        <v>90</v>
      </c>
      <c r="C198" s="3">
        <v>170760275</v>
      </c>
      <c r="D198" s="3" t="s">
        <v>52</v>
      </c>
      <c r="E198" s="3" t="s">
        <v>46</v>
      </c>
      <c r="F198" s="3" t="s">
        <v>53</v>
      </c>
      <c r="G198" s="3" t="s">
        <v>53</v>
      </c>
      <c r="H198" s="3" t="s">
        <v>214</v>
      </c>
      <c r="I198" s="3" t="s">
        <v>181</v>
      </c>
      <c r="J198" s="20" t="s">
        <v>215</v>
      </c>
      <c r="K198" s="3">
        <v>0.3125</v>
      </c>
      <c r="L198" s="3">
        <v>424</v>
      </c>
      <c r="M198" s="3">
        <v>-0.78719956739064401</v>
      </c>
      <c r="N198" s="3">
        <v>3.9865413254691704E-3</v>
      </c>
      <c r="O198" s="3">
        <v>0</v>
      </c>
      <c r="P198" s="3">
        <v>348</v>
      </c>
      <c r="Q198" s="3">
        <v>73</v>
      </c>
      <c r="R198" s="3">
        <v>8</v>
      </c>
      <c r="S198" s="3">
        <v>0</v>
      </c>
      <c r="T198" s="3">
        <v>0</v>
      </c>
      <c r="U198" s="3">
        <v>0</v>
      </c>
      <c r="V198" s="3">
        <v>0</v>
      </c>
      <c r="W198" s="3">
        <v>0</v>
      </c>
      <c r="X198" s="3">
        <v>0</v>
      </c>
      <c r="Y198" s="3">
        <v>0</v>
      </c>
      <c r="Z198" s="3">
        <v>0</v>
      </c>
      <c r="AA198" s="3">
        <v>0</v>
      </c>
      <c r="AB198" s="3">
        <v>0</v>
      </c>
      <c r="AC198" s="3">
        <v>0</v>
      </c>
      <c r="AD198" s="3">
        <v>1.8648018648018599E-2</v>
      </c>
      <c r="AE198" s="3">
        <v>0.17016317016317001</v>
      </c>
      <c r="AF198" s="3">
        <v>0.81118881118881103</v>
      </c>
      <c r="AG198" s="3">
        <v>0</v>
      </c>
      <c r="AH198" s="3">
        <v>0</v>
      </c>
      <c r="AI198" s="3">
        <v>0</v>
      </c>
      <c r="AJ198" s="3">
        <v>0.10372960372960401</v>
      </c>
      <c r="AK198" s="3">
        <v>0</v>
      </c>
      <c r="AL198" s="3">
        <v>0.89627039627039595</v>
      </c>
      <c r="AM198" s="3">
        <v>0</v>
      </c>
      <c r="AN198" s="3">
        <v>71</v>
      </c>
      <c r="AO198" s="3">
        <v>72.068493150684901</v>
      </c>
      <c r="AP198" s="3">
        <v>72.313953488372107</v>
      </c>
      <c r="AQ198" s="3" t="s">
        <v>891</v>
      </c>
      <c r="AR198" s="3" t="s">
        <v>892</v>
      </c>
      <c r="AS198" s="3" t="s">
        <v>635</v>
      </c>
      <c r="AT198" s="3" t="s">
        <v>636</v>
      </c>
      <c r="AU198" s="4">
        <v>1</v>
      </c>
      <c r="AV198" s="5">
        <v>0.94689999999999996</v>
      </c>
      <c r="AW198" s="6"/>
      <c r="AX198" s="6"/>
    </row>
    <row r="199" spans="1:50" x14ac:dyDescent="0.2">
      <c r="A199" s="3" t="s">
        <v>216</v>
      </c>
      <c r="B199" s="3" t="s">
        <v>57</v>
      </c>
      <c r="C199" s="3">
        <v>614622642</v>
      </c>
      <c r="D199" s="3" t="s">
        <v>52</v>
      </c>
      <c r="E199" s="3" t="s">
        <v>46</v>
      </c>
      <c r="F199" s="3" t="s">
        <v>53</v>
      </c>
      <c r="G199" s="3" t="s">
        <v>53</v>
      </c>
      <c r="H199" s="3" t="s">
        <v>214</v>
      </c>
      <c r="I199" s="3" t="s">
        <v>181</v>
      </c>
      <c r="J199" s="20" t="s">
        <v>217</v>
      </c>
      <c r="K199" s="3">
        <v>1.1792452830188299E-3</v>
      </c>
      <c r="L199" s="3">
        <v>424</v>
      </c>
      <c r="M199" s="3">
        <v>11.783622581991899</v>
      </c>
      <c r="N199" s="20" t="s">
        <v>218</v>
      </c>
      <c r="O199" s="3">
        <v>0.45382795380094798</v>
      </c>
      <c r="P199" s="3">
        <v>263</v>
      </c>
      <c r="Q199" s="3">
        <v>140</v>
      </c>
      <c r="R199" s="3">
        <v>26</v>
      </c>
      <c r="S199" s="3">
        <v>0</v>
      </c>
      <c r="T199" s="3">
        <v>0</v>
      </c>
      <c r="U199" s="3">
        <v>0</v>
      </c>
      <c r="V199" s="3">
        <v>0</v>
      </c>
      <c r="W199" s="3">
        <v>0</v>
      </c>
      <c r="X199" s="3">
        <v>0</v>
      </c>
      <c r="Y199" s="3">
        <v>0</v>
      </c>
      <c r="Z199" s="3">
        <v>0</v>
      </c>
      <c r="AA199" s="3">
        <v>0</v>
      </c>
      <c r="AB199" s="3">
        <v>0</v>
      </c>
      <c r="AC199" s="3">
        <v>0</v>
      </c>
      <c r="AD199" s="3">
        <v>6.0606060606060601E-2</v>
      </c>
      <c r="AE199" s="3">
        <v>0.326340326340326</v>
      </c>
      <c r="AF199" s="3">
        <v>0.61305361305361294</v>
      </c>
      <c r="AG199" s="3">
        <v>0</v>
      </c>
      <c r="AH199" s="3">
        <v>0</v>
      </c>
      <c r="AI199" s="3">
        <v>0</v>
      </c>
      <c r="AJ199" s="3">
        <v>0.223776223776224</v>
      </c>
      <c r="AK199" s="3">
        <v>0</v>
      </c>
      <c r="AL199" s="3">
        <v>0.77622377622377603</v>
      </c>
      <c r="AM199" s="3">
        <v>0</v>
      </c>
      <c r="AN199" s="3">
        <v>72.230769230769198</v>
      </c>
      <c r="AO199" s="3">
        <v>71.971428571428604</v>
      </c>
      <c r="AP199" s="3">
        <v>72.403100775193806</v>
      </c>
      <c r="AQ199" s="3"/>
      <c r="AR199" s="3"/>
      <c r="AS199" s="3"/>
      <c r="AT199" s="3"/>
      <c r="AU199" s="3"/>
      <c r="AV199" s="3"/>
      <c r="AW199" s="6"/>
      <c r="AX199" s="6"/>
    </row>
    <row r="200" spans="1:50" ht="70" x14ac:dyDescent="0.2">
      <c r="A200" s="3" t="s">
        <v>219</v>
      </c>
      <c r="B200" s="3" t="s">
        <v>97</v>
      </c>
      <c r="C200" s="3">
        <v>100855672</v>
      </c>
      <c r="D200" s="3" t="s">
        <v>67</v>
      </c>
      <c r="E200" s="3" t="s">
        <v>46</v>
      </c>
      <c r="F200" s="3" t="s">
        <v>53</v>
      </c>
      <c r="G200" s="3" t="s">
        <v>53</v>
      </c>
      <c r="H200" s="3" t="s">
        <v>214</v>
      </c>
      <c r="I200" s="3" t="s">
        <v>181</v>
      </c>
      <c r="J200" s="20" t="s">
        <v>220</v>
      </c>
      <c r="K200" s="3">
        <v>3.53773584905659E-3</v>
      </c>
      <c r="L200" s="3">
        <v>424</v>
      </c>
      <c r="M200" s="3">
        <v>4.5763426099838398</v>
      </c>
      <c r="N200" s="3">
        <v>5.7706100865728797E-3</v>
      </c>
      <c r="O200" s="3">
        <v>0</v>
      </c>
      <c r="P200" s="3">
        <v>134</v>
      </c>
      <c r="Q200" s="3">
        <v>183</v>
      </c>
      <c r="R200" s="3">
        <v>112</v>
      </c>
      <c r="S200" s="3">
        <v>0</v>
      </c>
      <c r="T200" s="3">
        <v>0</v>
      </c>
      <c r="U200" s="3">
        <v>0</v>
      </c>
      <c r="V200" s="3">
        <v>0</v>
      </c>
      <c r="W200" s="3">
        <v>0</v>
      </c>
      <c r="X200" s="3">
        <v>0</v>
      </c>
      <c r="Y200" s="3">
        <v>0</v>
      </c>
      <c r="Z200" s="3">
        <v>0</v>
      </c>
      <c r="AA200" s="3">
        <v>0</v>
      </c>
      <c r="AB200" s="3">
        <v>0</v>
      </c>
      <c r="AC200" s="3">
        <v>0</v>
      </c>
      <c r="AD200" s="3">
        <v>0.261072261072261</v>
      </c>
      <c r="AE200" s="3">
        <v>0.42657342657342701</v>
      </c>
      <c r="AF200" s="3">
        <v>0.31235431235431199</v>
      </c>
      <c r="AG200" s="3">
        <v>0</v>
      </c>
      <c r="AH200" s="3">
        <v>0</v>
      </c>
      <c r="AI200" s="3">
        <v>0</v>
      </c>
      <c r="AJ200" s="3">
        <v>0.47435897435897401</v>
      </c>
      <c r="AK200" s="3">
        <v>0</v>
      </c>
      <c r="AL200" s="3">
        <v>0.52564102564102599</v>
      </c>
      <c r="AM200" s="3">
        <v>0</v>
      </c>
      <c r="AN200" s="3">
        <v>72.248120300751907</v>
      </c>
      <c r="AO200" s="3">
        <v>72.366666666666703</v>
      </c>
      <c r="AP200" s="3">
        <v>72.063063063063098</v>
      </c>
      <c r="AQ200" s="3" t="s">
        <v>893</v>
      </c>
      <c r="AR200" s="3" t="s">
        <v>894</v>
      </c>
      <c r="AS200" s="3" t="s">
        <v>895</v>
      </c>
      <c r="AT200" s="3" t="s">
        <v>636</v>
      </c>
      <c r="AU200" s="4">
        <v>0.97</v>
      </c>
      <c r="AV200" s="5">
        <v>0.92859999999999998</v>
      </c>
      <c r="AW200" s="10" t="s">
        <v>896</v>
      </c>
      <c r="AX200" s="6" t="s">
        <v>897</v>
      </c>
    </row>
    <row r="201" spans="1:50" ht="98" x14ac:dyDescent="0.2">
      <c r="A201" s="3" t="s">
        <v>221</v>
      </c>
      <c r="B201" s="3" t="s">
        <v>97</v>
      </c>
      <c r="C201" s="3">
        <v>393839387</v>
      </c>
      <c r="D201" s="3" t="s">
        <v>71</v>
      </c>
      <c r="E201" s="3" t="s">
        <v>45</v>
      </c>
      <c r="F201" s="3" t="s">
        <v>59</v>
      </c>
      <c r="G201" s="3" t="s">
        <v>59</v>
      </c>
      <c r="H201" s="3" t="s">
        <v>214</v>
      </c>
      <c r="I201" s="3" t="s">
        <v>181</v>
      </c>
      <c r="J201" s="20" t="s">
        <v>222</v>
      </c>
      <c r="K201" s="3">
        <v>1.1792452830188299E-3</v>
      </c>
      <c r="L201" s="3">
        <v>424</v>
      </c>
      <c r="M201" s="3">
        <v>9.72116722035571</v>
      </c>
      <c r="N201" s="3">
        <v>2.4195543383419499E-4</v>
      </c>
      <c r="O201" s="3">
        <v>0</v>
      </c>
      <c r="P201" s="3">
        <v>0</v>
      </c>
      <c r="Q201" s="3">
        <v>0</v>
      </c>
      <c r="R201" s="3">
        <v>0</v>
      </c>
      <c r="S201" s="3">
        <v>0</v>
      </c>
      <c r="T201" s="3">
        <v>383</v>
      </c>
      <c r="U201" s="3">
        <v>12</v>
      </c>
      <c r="V201" s="3">
        <v>0</v>
      </c>
      <c r="W201" s="3">
        <v>34</v>
      </c>
      <c r="X201" s="3">
        <v>0</v>
      </c>
      <c r="Y201" s="3">
        <v>0</v>
      </c>
      <c r="Z201" s="3">
        <v>7.9254079254079193E-2</v>
      </c>
      <c r="AA201" s="3">
        <v>0.89277389277389296</v>
      </c>
      <c r="AB201" s="3">
        <v>2.7972027972028E-2</v>
      </c>
      <c r="AC201" s="3">
        <v>0</v>
      </c>
      <c r="AD201" s="3">
        <v>0</v>
      </c>
      <c r="AE201" s="3">
        <v>0</v>
      </c>
      <c r="AF201" s="3">
        <v>0</v>
      </c>
      <c r="AG201" s="3">
        <v>0</v>
      </c>
      <c r="AH201" s="3">
        <v>0</v>
      </c>
      <c r="AI201" s="3">
        <v>0</v>
      </c>
      <c r="AJ201" s="3">
        <v>0</v>
      </c>
      <c r="AK201" s="3">
        <v>6.75990675990676E-2</v>
      </c>
      <c r="AL201" s="3">
        <v>0</v>
      </c>
      <c r="AM201" s="3">
        <v>0.93240093240093203</v>
      </c>
      <c r="AN201" s="3">
        <v>70.6666666666667</v>
      </c>
      <c r="AO201" s="3">
        <v>72.352941176470594</v>
      </c>
      <c r="AP201" s="3">
        <v>72.291005291005305</v>
      </c>
      <c r="AQ201" s="3" t="s">
        <v>914</v>
      </c>
      <c r="AR201" s="3"/>
      <c r="AS201" s="3" t="s">
        <v>898</v>
      </c>
      <c r="AT201" s="3" t="s">
        <v>636</v>
      </c>
      <c r="AU201" s="4">
        <v>1</v>
      </c>
      <c r="AV201" s="5">
        <v>0.91539999999999999</v>
      </c>
      <c r="AW201" s="10" t="s">
        <v>889</v>
      </c>
      <c r="AX201" s="6" t="s">
        <v>890</v>
      </c>
    </row>
    <row r="202" spans="1:50" x14ac:dyDescent="0.2">
      <c r="A202" s="3" t="s">
        <v>223</v>
      </c>
      <c r="B202" s="3" t="s">
        <v>224</v>
      </c>
      <c r="C202" s="3">
        <v>140782902</v>
      </c>
      <c r="D202" s="3" t="s">
        <v>225</v>
      </c>
      <c r="E202" s="3" t="s">
        <v>59</v>
      </c>
      <c r="F202" s="3" t="s">
        <v>46</v>
      </c>
      <c r="G202" s="3" t="s">
        <v>46</v>
      </c>
      <c r="H202" s="3" t="s">
        <v>214</v>
      </c>
      <c r="I202" s="3" t="s">
        <v>181</v>
      </c>
      <c r="J202" s="20" t="s">
        <v>226</v>
      </c>
      <c r="K202" s="3">
        <v>0.26533018867924502</v>
      </c>
      <c r="L202" s="3">
        <v>424</v>
      </c>
      <c r="M202" s="3">
        <v>-0.53258447330222203</v>
      </c>
      <c r="N202" s="3">
        <v>5.4626965176515297E-3</v>
      </c>
      <c r="O202" s="3">
        <v>0</v>
      </c>
      <c r="P202" s="3">
        <v>27</v>
      </c>
      <c r="Q202" s="3">
        <v>0</v>
      </c>
      <c r="R202" s="3">
        <v>0</v>
      </c>
      <c r="S202" s="3">
        <v>0</v>
      </c>
      <c r="T202" s="3">
        <v>0</v>
      </c>
      <c r="U202" s="3">
        <v>251</v>
      </c>
      <c r="V202" s="3">
        <v>151</v>
      </c>
      <c r="W202" s="3">
        <v>0</v>
      </c>
      <c r="X202" s="3">
        <v>0</v>
      </c>
      <c r="Y202" s="3">
        <v>0</v>
      </c>
      <c r="Z202" s="3">
        <v>0</v>
      </c>
      <c r="AA202" s="3">
        <v>0</v>
      </c>
      <c r="AB202" s="3">
        <v>0.58508158508158503</v>
      </c>
      <c r="AC202" s="3">
        <v>0</v>
      </c>
      <c r="AD202" s="3">
        <v>0</v>
      </c>
      <c r="AE202" s="3">
        <v>0</v>
      </c>
      <c r="AF202" s="3">
        <v>6.2937062937062901E-2</v>
      </c>
      <c r="AG202" s="3">
        <v>0</v>
      </c>
      <c r="AH202" s="3">
        <v>0</v>
      </c>
      <c r="AI202" s="3">
        <v>0.351981351981352</v>
      </c>
      <c r="AJ202" s="3">
        <v>0</v>
      </c>
      <c r="AK202" s="3">
        <v>0.761072261072261</v>
      </c>
      <c r="AL202" s="3">
        <v>0.238927738927739</v>
      </c>
      <c r="AM202" s="3">
        <v>0</v>
      </c>
      <c r="AN202" s="3">
        <v>72.925925925925895</v>
      </c>
      <c r="AO202" s="3">
        <v>72.073825503355707</v>
      </c>
      <c r="AP202" s="3">
        <v>72.2822580645161</v>
      </c>
      <c r="AQ202" s="3"/>
      <c r="AR202" s="3"/>
      <c r="AS202" s="3"/>
      <c r="AT202" s="3"/>
      <c r="AU202" s="3"/>
      <c r="AV202" s="3"/>
      <c r="AW202" s="6"/>
      <c r="AX202" s="6"/>
    </row>
    <row r="203" spans="1:50" ht="42" x14ac:dyDescent="0.2">
      <c r="A203" s="3" t="s">
        <v>227</v>
      </c>
      <c r="B203" s="3" t="s">
        <v>70</v>
      </c>
      <c r="C203" s="3">
        <v>437775861</v>
      </c>
      <c r="D203" s="3" t="s">
        <v>139</v>
      </c>
      <c r="E203" s="3" t="s">
        <v>45</v>
      </c>
      <c r="F203" s="3" t="s">
        <v>46</v>
      </c>
      <c r="G203" s="3" t="s">
        <v>45</v>
      </c>
      <c r="H203" s="3" t="s">
        <v>214</v>
      </c>
      <c r="I203" s="3" t="s">
        <v>181</v>
      </c>
      <c r="J203" s="20" t="s">
        <v>228</v>
      </c>
      <c r="K203" s="3">
        <v>0.33254716981132099</v>
      </c>
      <c r="L203" s="3">
        <v>424</v>
      </c>
      <c r="M203" s="3">
        <v>-0.84490148948654598</v>
      </c>
      <c r="N203" s="20" t="s">
        <v>229</v>
      </c>
      <c r="O203" s="20" t="s">
        <v>230</v>
      </c>
      <c r="P203" s="3">
        <v>196</v>
      </c>
      <c r="Q203" s="3">
        <v>0</v>
      </c>
      <c r="R203" s="3">
        <v>0</v>
      </c>
      <c r="S203" s="3">
        <v>179</v>
      </c>
      <c r="T203" s="3">
        <v>54</v>
      </c>
      <c r="U203" s="3">
        <v>0</v>
      </c>
      <c r="V203" s="3">
        <v>0</v>
      </c>
      <c r="W203" s="3">
        <v>0</v>
      </c>
      <c r="X203" s="3">
        <v>0</v>
      </c>
      <c r="Y203" s="3">
        <v>0</v>
      </c>
      <c r="Z203" s="3">
        <v>0</v>
      </c>
      <c r="AA203" s="3">
        <v>0.125874125874126</v>
      </c>
      <c r="AB203" s="3">
        <v>0</v>
      </c>
      <c r="AC203" s="3">
        <v>0</v>
      </c>
      <c r="AD203" s="3">
        <v>0</v>
      </c>
      <c r="AE203" s="3">
        <v>0</v>
      </c>
      <c r="AF203" s="3">
        <v>0.456876456876457</v>
      </c>
      <c r="AG203" s="3">
        <v>0.417249417249417</v>
      </c>
      <c r="AH203" s="3">
        <v>0</v>
      </c>
      <c r="AI203" s="3">
        <v>0</v>
      </c>
      <c r="AJ203" s="3">
        <v>0</v>
      </c>
      <c r="AK203" s="3">
        <v>0</v>
      </c>
      <c r="AL203" s="3">
        <v>0.665501165501166</v>
      </c>
      <c r="AM203" s="3">
        <v>0.334498834498835</v>
      </c>
      <c r="AN203" s="3">
        <v>72.584905660377402</v>
      </c>
      <c r="AO203" s="3">
        <v>72.193181818181799</v>
      </c>
      <c r="AP203" s="3">
        <v>72.210256410256406</v>
      </c>
      <c r="AQ203" s="3" t="s">
        <v>899</v>
      </c>
      <c r="AR203" s="3" t="s">
        <v>900</v>
      </c>
      <c r="AS203" s="3" t="s">
        <v>913</v>
      </c>
      <c r="AT203" s="3"/>
      <c r="AU203" s="3"/>
      <c r="AV203" s="3"/>
      <c r="AW203" s="8" t="s">
        <v>734</v>
      </c>
      <c r="AX203" s="6" t="s">
        <v>735</v>
      </c>
    </row>
    <row r="204" spans="1:50" x14ac:dyDescent="0.2">
      <c r="A204" s="3" t="s">
        <v>231</v>
      </c>
      <c r="B204" s="3" t="s">
        <v>74</v>
      </c>
      <c r="C204" s="3">
        <v>448933298</v>
      </c>
      <c r="D204" s="3" t="s">
        <v>52</v>
      </c>
      <c r="E204" s="3" t="s">
        <v>46</v>
      </c>
      <c r="F204" s="3" t="s">
        <v>53</v>
      </c>
      <c r="G204" s="3" t="s">
        <v>53</v>
      </c>
      <c r="H204" s="3" t="s">
        <v>214</v>
      </c>
      <c r="I204" s="3" t="s">
        <v>181</v>
      </c>
      <c r="J204" s="20" t="s">
        <v>232</v>
      </c>
      <c r="K204" s="3">
        <v>1.1792452830188299E-3</v>
      </c>
      <c r="L204" s="3">
        <v>424</v>
      </c>
      <c r="M204" s="3">
        <v>8.5226396246548592</v>
      </c>
      <c r="N204" s="3">
        <v>6.85698612460592E-4</v>
      </c>
      <c r="O204" s="3">
        <v>0.603471828534072</v>
      </c>
      <c r="P204" s="3">
        <v>397</v>
      </c>
      <c r="Q204" s="3">
        <v>29</v>
      </c>
      <c r="R204" s="3">
        <v>3</v>
      </c>
      <c r="S204" s="3">
        <v>0</v>
      </c>
      <c r="T204" s="3">
        <v>0</v>
      </c>
      <c r="U204" s="3">
        <v>0</v>
      </c>
      <c r="V204" s="3">
        <v>0</v>
      </c>
      <c r="W204" s="3">
        <v>0</v>
      </c>
      <c r="X204" s="3">
        <v>0</v>
      </c>
      <c r="Y204" s="3">
        <v>0</v>
      </c>
      <c r="Z204" s="3">
        <v>0</v>
      </c>
      <c r="AA204" s="3">
        <v>0</v>
      </c>
      <c r="AB204" s="3">
        <v>0</v>
      </c>
      <c r="AC204" s="3">
        <v>0</v>
      </c>
      <c r="AD204" s="3">
        <v>6.9930069930069904E-3</v>
      </c>
      <c r="AE204" s="3">
        <v>6.75990675990676E-2</v>
      </c>
      <c r="AF204" s="3">
        <v>0.92540792540792505</v>
      </c>
      <c r="AG204" s="3">
        <v>0</v>
      </c>
      <c r="AH204" s="3">
        <v>0</v>
      </c>
      <c r="AI204" s="3">
        <v>0</v>
      </c>
      <c r="AJ204" s="3">
        <v>4.0792540792540799E-2</v>
      </c>
      <c r="AK204" s="3">
        <v>0</v>
      </c>
      <c r="AL204" s="3">
        <v>0.95920745920745898</v>
      </c>
      <c r="AM204" s="3">
        <v>0</v>
      </c>
      <c r="AN204" s="3">
        <v>72.3333333333333</v>
      </c>
      <c r="AO204" s="3">
        <v>72.428571428571402</v>
      </c>
      <c r="AP204" s="3">
        <v>72.236641221374001</v>
      </c>
      <c r="AQ204" s="3"/>
      <c r="AR204" s="3"/>
      <c r="AS204" s="3"/>
      <c r="AT204" s="3"/>
      <c r="AU204" s="3"/>
      <c r="AV204" s="3"/>
      <c r="AW204" s="6"/>
      <c r="AX204" s="6"/>
    </row>
    <row r="205" spans="1:50" ht="70" x14ac:dyDescent="0.2">
      <c r="A205" s="3" t="s">
        <v>396</v>
      </c>
      <c r="B205" s="3" t="s">
        <v>57</v>
      </c>
      <c r="C205" s="3">
        <v>611922552</v>
      </c>
      <c r="D205" s="3" t="s">
        <v>52</v>
      </c>
      <c r="E205" s="3" t="s">
        <v>46</v>
      </c>
      <c r="F205" s="3" t="s">
        <v>53</v>
      </c>
      <c r="G205" s="3" t="s">
        <v>53</v>
      </c>
      <c r="H205" s="3" t="s">
        <v>214</v>
      </c>
      <c r="I205" s="3" t="s">
        <v>369</v>
      </c>
      <c r="J205" s="20" t="s">
        <v>397</v>
      </c>
      <c r="K205" s="3">
        <v>2.4922118380062301E-2</v>
      </c>
      <c r="L205" s="3">
        <v>321</v>
      </c>
      <c r="M205" s="3">
        <v>5.4621827986588896</v>
      </c>
      <c r="N205" s="3">
        <v>9.3026884333581204E-4</v>
      </c>
      <c r="O205" s="3">
        <v>0</v>
      </c>
      <c r="P205" s="3">
        <v>364</v>
      </c>
      <c r="Q205" s="3">
        <v>0</v>
      </c>
      <c r="R205" s="3">
        <v>0</v>
      </c>
      <c r="S205" s="3">
        <v>0</v>
      </c>
      <c r="T205" s="3">
        <v>0</v>
      </c>
      <c r="U205" s="3">
        <v>0</v>
      </c>
      <c r="V205" s="3">
        <v>0</v>
      </c>
      <c r="W205" s="3">
        <v>0</v>
      </c>
      <c r="X205" s="3">
        <v>0</v>
      </c>
      <c r="Y205" s="3">
        <v>0</v>
      </c>
      <c r="Z205" s="3">
        <v>0</v>
      </c>
      <c r="AA205" s="3">
        <v>0</v>
      </c>
      <c r="AB205" s="3">
        <v>0</v>
      </c>
      <c r="AC205" s="3">
        <v>0</v>
      </c>
      <c r="AD205" s="3">
        <v>0</v>
      </c>
      <c r="AE205" s="3">
        <v>0</v>
      </c>
      <c r="AF205" s="3">
        <v>1</v>
      </c>
      <c r="AG205" s="3">
        <v>0</v>
      </c>
      <c r="AH205" s="3">
        <v>0</v>
      </c>
      <c r="AI205" s="3">
        <v>0</v>
      </c>
      <c r="AJ205" s="3">
        <v>0</v>
      </c>
      <c r="AK205" s="3">
        <v>0</v>
      </c>
      <c r="AL205" s="3">
        <v>1</v>
      </c>
      <c r="AM205" s="3">
        <v>0</v>
      </c>
      <c r="AN205" s="3" t="s">
        <v>55</v>
      </c>
      <c r="AO205" s="3" t="s">
        <v>55</v>
      </c>
      <c r="AP205" s="3">
        <v>67.380062305295993</v>
      </c>
      <c r="AQ205" s="3" t="s">
        <v>914</v>
      </c>
      <c r="AR205" s="3"/>
      <c r="AS205" s="3" t="s">
        <v>901</v>
      </c>
      <c r="AT205" s="3" t="s">
        <v>902</v>
      </c>
      <c r="AU205" s="3" t="s">
        <v>903</v>
      </c>
      <c r="AV205" s="3" t="s">
        <v>904</v>
      </c>
      <c r="AW205" s="10" t="s">
        <v>905</v>
      </c>
      <c r="AX205" s="6" t="s">
        <v>906</v>
      </c>
    </row>
    <row r="206" spans="1:50" x14ac:dyDescent="0.2">
      <c r="A206" s="3" t="s">
        <v>398</v>
      </c>
      <c r="B206" s="3" t="s">
        <v>120</v>
      </c>
      <c r="C206" s="3">
        <v>103986355</v>
      </c>
      <c r="D206" s="3" t="s">
        <v>85</v>
      </c>
      <c r="E206" s="3" t="s">
        <v>53</v>
      </c>
      <c r="F206" s="3" t="s">
        <v>45</v>
      </c>
      <c r="G206" s="3" t="s">
        <v>45</v>
      </c>
      <c r="H206" s="3" t="s">
        <v>214</v>
      </c>
      <c r="I206" s="3" t="s">
        <v>369</v>
      </c>
      <c r="J206" s="20" t="s">
        <v>399</v>
      </c>
      <c r="K206" s="3">
        <v>1.2461059190031199E-2</v>
      </c>
      <c r="L206" s="3">
        <v>321</v>
      </c>
      <c r="M206" s="3">
        <v>5.14495421049926</v>
      </c>
      <c r="N206" s="3">
        <v>9.3026884333581204E-4</v>
      </c>
      <c r="O206" s="3">
        <v>0</v>
      </c>
      <c r="P206" s="3">
        <v>0</v>
      </c>
      <c r="Q206" s="3">
        <v>0</v>
      </c>
      <c r="R206" s="3">
        <v>263</v>
      </c>
      <c r="S206" s="3">
        <v>0</v>
      </c>
      <c r="T206" s="3">
        <v>17</v>
      </c>
      <c r="U206" s="3">
        <v>0</v>
      </c>
      <c r="V206" s="3">
        <v>0</v>
      </c>
      <c r="W206" s="3">
        <v>0</v>
      </c>
      <c r="X206" s="3">
        <v>0</v>
      </c>
      <c r="Y206" s="3">
        <v>84</v>
      </c>
      <c r="Z206" s="3">
        <v>0</v>
      </c>
      <c r="AA206" s="3">
        <v>4.6703296703296697E-2</v>
      </c>
      <c r="AB206" s="3">
        <v>0</v>
      </c>
      <c r="AC206" s="3">
        <v>0</v>
      </c>
      <c r="AD206" s="3">
        <v>0.72252747252747296</v>
      </c>
      <c r="AE206" s="3">
        <v>0</v>
      </c>
      <c r="AF206" s="3">
        <v>0</v>
      </c>
      <c r="AG206" s="3">
        <v>0</v>
      </c>
      <c r="AH206" s="3">
        <v>0.230769230769231</v>
      </c>
      <c r="AI206" s="3">
        <v>0</v>
      </c>
      <c r="AJ206" s="3">
        <v>0.83791208791208804</v>
      </c>
      <c r="AK206" s="3">
        <v>0</v>
      </c>
      <c r="AL206" s="3">
        <v>0</v>
      </c>
      <c r="AM206" s="3">
        <v>0.16208791208791201</v>
      </c>
      <c r="AN206" s="3">
        <v>66.3333333333333</v>
      </c>
      <c r="AO206" s="3">
        <v>68.098591549295804</v>
      </c>
      <c r="AP206" s="3">
        <v>67.229787234042504</v>
      </c>
      <c r="AQ206" s="3" t="s">
        <v>914</v>
      </c>
      <c r="AR206" s="3"/>
      <c r="AS206" s="3" t="s">
        <v>907</v>
      </c>
      <c r="AT206" s="3" t="s">
        <v>653</v>
      </c>
      <c r="AU206" s="4">
        <v>0.89</v>
      </c>
      <c r="AV206" s="5">
        <v>0.91620000000000001</v>
      </c>
      <c r="AW206" s="6"/>
      <c r="AX206" s="6"/>
    </row>
    <row r="207" spans="1:50" x14ac:dyDescent="0.2">
      <c r="A207" s="3" t="s">
        <v>400</v>
      </c>
      <c r="B207" s="3" t="s">
        <v>74</v>
      </c>
      <c r="C207" s="3">
        <v>501741056</v>
      </c>
      <c r="D207" s="3" t="s">
        <v>109</v>
      </c>
      <c r="E207" s="3" t="s">
        <v>45</v>
      </c>
      <c r="F207" s="3" t="s">
        <v>59</v>
      </c>
      <c r="G207" s="3" t="s">
        <v>45</v>
      </c>
      <c r="H207" s="3" t="s">
        <v>214</v>
      </c>
      <c r="I207" s="3" t="s">
        <v>369</v>
      </c>
      <c r="J207" s="20" t="s">
        <v>401</v>
      </c>
      <c r="K207" s="3">
        <v>1.5576323987538899E-2</v>
      </c>
      <c r="L207" s="3">
        <v>321</v>
      </c>
      <c r="M207" s="3">
        <v>7.7079790312564</v>
      </c>
      <c r="N207" s="3">
        <v>9.3026884333581204E-4</v>
      </c>
      <c r="O207" s="3">
        <v>0</v>
      </c>
      <c r="P207" s="3">
        <v>0</v>
      </c>
      <c r="Q207" s="3">
        <v>0</v>
      </c>
      <c r="R207" s="3">
        <v>0</v>
      </c>
      <c r="S207" s="3">
        <v>0</v>
      </c>
      <c r="T207" s="3">
        <v>39</v>
      </c>
      <c r="U207" s="3">
        <v>271</v>
      </c>
      <c r="V207" s="3">
        <v>0</v>
      </c>
      <c r="W207" s="3">
        <v>54</v>
      </c>
      <c r="X207" s="3">
        <v>0</v>
      </c>
      <c r="Y207" s="3">
        <v>0</v>
      </c>
      <c r="Z207" s="3">
        <v>0.14835164835164799</v>
      </c>
      <c r="AA207" s="3">
        <v>0.107142857142857</v>
      </c>
      <c r="AB207" s="3">
        <v>0.74450549450549497</v>
      </c>
      <c r="AC207" s="3">
        <v>0</v>
      </c>
      <c r="AD207" s="3">
        <v>0</v>
      </c>
      <c r="AE207" s="3">
        <v>0</v>
      </c>
      <c r="AF207" s="3">
        <v>0</v>
      </c>
      <c r="AG207" s="3">
        <v>0</v>
      </c>
      <c r="AH207" s="3">
        <v>0</v>
      </c>
      <c r="AI207" s="3">
        <v>0</v>
      </c>
      <c r="AJ207" s="3">
        <v>0</v>
      </c>
      <c r="AK207" s="3">
        <v>0.81868131868131899</v>
      </c>
      <c r="AL207" s="3">
        <v>0</v>
      </c>
      <c r="AM207" s="3">
        <v>0.18131868131868101</v>
      </c>
      <c r="AN207" s="3">
        <v>65.918918918918905</v>
      </c>
      <c r="AO207" s="3">
        <v>67.976744186046503</v>
      </c>
      <c r="AP207" s="3">
        <v>67.497925311203304</v>
      </c>
      <c r="AQ207" s="3"/>
      <c r="AR207" s="3"/>
      <c r="AS207" s="3"/>
      <c r="AT207" s="3"/>
      <c r="AU207" s="3"/>
      <c r="AV207" s="3"/>
      <c r="AW207" s="6"/>
      <c r="AX207" s="6"/>
    </row>
    <row r="208" spans="1:50" ht="98" x14ac:dyDescent="0.2">
      <c r="A208" s="3" t="s">
        <v>516</v>
      </c>
      <c r="B208" s="3" t="s">
        <v>74</v>
      </c>
      <c r="C208" s="3">
        <v>442280490</v>
      </c>
      <c r="D208" s="3" t="s">
        <v>67</v>
      </c>
      <c r="E208" s="3" t="s">
        <v>53</v>
      </c>
      <c r="F208" s="3" t="s">
        <v>46</v>
      </c>
      <c r="G208" s="3" t="s">
        <v>46</v>
      </c>
      <c r="H208" s="3" t="s">
        <v>214</v>
      </c>
      <c r="I208" s="3" t="s">
        <v>432</v>
      </c>
      <c r="J208" s="20" t="s">
        <v>517</v>
      </c>
      <c r="K208" s="3">
        <v>0.161392405063291</v>
      </c>
      <c r="L208" s="3">
        <v>316</v>
      </c>
      <c r="M208" s="3">
        <v>2.0718412602274201</v>
      </c>
      <c r="N208" s="3">
        <v>5.2227285189243404E-4</v>
      </c>
      <c r="O208" s="3">
        <v>0</v>
      </c>
      <c r="P208" s="3">
        <v>6</v>
      </c>
      <c r="Q208" s="3">
        <v>14</v>
      </c>
      <c r="R208" s="3">
        <v>337</v>
      </c>
      <c r="S208" s="3">
        <v>0</v>
      </c>
      <c r="T208" s="3">
        <v>0</v>
      </c>
      <c r="U208" s="3">
        <v>0</v>
      </c>
      <c r="V208" s="3">
        <v>0</v>
      </c>
      <c r="W208" s="3">
        <v>0</v>
      </c>
      <c r="X208" s="3">
        <v>0</v>
      </c>
      <c r="Y208" s="3">
        <v>0</v>
      </c>
      <c r="Z208" s="3">
        <v>0</v>
      </c>
      <c r="AA208" s="3">
        <v>0</v>
      </c>
      <c r="AB208" s="3">
        <v>0</v>
      </c>
      <c r="AC208" s="3">
        <v>0</v>
      </c>
      <c r="AD208" s="3">
        <v>0.94397759103641499</v>
      </c>
      <c r="AE208" s="3">
        <v>3.9215686274509803E-2</v>
      </c>
      <c r="AF208" s="3">
        <v>1.6806722689075598E-2</v>
      </c>
      <c r="AG208" s="3">
        <v>0</v>
      </c>
      <c r="AH208" s="3">
        <v>0</v>
      </c>
      <c r="AI208" s="3">
        <v>0</v>
      </c>
      <c r="AJ208" s="3">
        <v>0.96358543417367004</v>
      </c>
      <c r="AK208" s="3">
        <v>0</v>
      </c>
      <c r="AL208" s="3">
        <v>3.64145658263305E-2</v>
      </c>
      <c r="AM208" s="3">
        <v>0</v>
      </c>
      <c r="AN208" s="3">
        <v>64</v>
      </c>
      <c r="AO208" s="3">
        <v>64.6666666666667</v>
      </c>
      <c r="AP208" s="3">
        <v>62.986577181207998</v>
      </c>
      <c r="AQ208" s="3" t="s">
        <v>908</v>
      </c>
      <c r="AR208" s="3" t="s">
        <v>909</v>
      </c>
      <c r="AS208" s="3" t="s">
        <v>910</v>
      </c>
      <c r="AT208" s="3" t="s">
        <v>636</v>
      </c>
      <c r="AU208" s="4">
        <v>0.9</v>
      </c>
      <c r="AV208" s="5">
        <v>0.96699999999999997</v>
      </c>
      <c r="AW208" s="8" t="s">
        <v>911</v>
      </c>
      <c r="AX208" s="6" t="s">
        <v>935</v>
      </c>
    </row>
    <row r="209" spans="1:50" x14ac:dyDescent="0.2">
      <c r="A209" s="3" t="s">
        <v>612</v>
      </c>
      <c r="B209" s="3" t="s">
        <v>100</v>
      </c>
      <c r="C209" s="3">
        <v>501885161</v>
      </c>
      <c r="D209" s="3" t="s">
        <v>71</v>
      </c>
      <c r="E209" s="3" t="s">
        <v>59</v>
      </c>
      <c r="F209" s="3" t="s">
        <v>45</v>
      </c>
      <c r="G209" s="3" t="s">
        <v>59</v>
      </c>
      <c r="H209" s="3" t="s">
        <v>214</v>
      </c>
      <c r="I209" s="3" t="s">
        <v>519</v>
      </c>
      <c r="J209" s="20" t="s">
        <v>613</v>
      </c>
      <c r="K209" s="3">
        <v>4.5317220543806602E-2</v>
      </c>
      <c r="L209" s="3">
        <v>331</v>
      </c>
      <c r="M209" s="3">
        <v>1.91866137286297</v>
      </c>
      <c r="N209" s="3">
        <v>2.0897461564489501E-3</v>
      </c>
      <c r="O209" s="3">
        <v>0</v>
      </c>
      <c r="P209" s="3">
        <v>0</v>
      </c>
      <c r="Q209" s="3">
        <v>0</v>
      </c>
      <c r="R209" s="3">
        <v>0</v>
      </c>
      <c r="S209" s="3">
        <v>0</v>
      </c>
      <c r="T209" s="3">
        <v>151</v>
      </c>
      <c r="U209" s="3">
        <v>16</v>
      </c>
      <c r="V209" s="3">
        <v>0</v>
      </c>
      <c r="W209" s="3">
        <v>190</v>
      </c>
      <c r="X209" s="3">
        <v>0</v>
      </c>
      <c r="Y209" s="3">
        <v>0</v>
      </c>
      <c r="Z209" s="3">
        <v>0.53221288515406195</v>
      </c>
      <c r="AA209" s="3">
        <v>0.42296918767507002</v>
      </c>
      <c r="AB209" s="3">
        <v>4.4817927170868299E-2</v>
      </c>
      <c r="AC209" s="3">
        <v>0</v>
      </c>
      <c r="AD209" s="3">
        <v>0</v>
      </c>
      <c r="AE209" s="3">
        <v>0</v>
      </c>
      <c r="AF209" s="3">
        <v>0</v>
      </c>
      <c r="AG209" s="3">
        <v>0</v>
      </c>
      <c r="AH209" s="3">
        <v>0</v>
      </c>
      <c r="AI209" s="3">
        <v>0</v>
      </c>
      <c r="AJ209" s="3">
        <v>0</v>
      </c>
      <c r="AK209" s="3">
        <v>0.310924369747899</v>
      </c>
      <c r="AL209" s="3">
        <v>0</v>
      </c>
      <c r="AM209" s="3">
        <v>0.68907563025210095</v>
      </c>
      <c r="AN209" s="3">
        <v>74.2</v>
      </c>
      <c r="AO209" s="3">
        <v>74.539325842696599</v>
      </c>
      <c r="AP209" s="3">
        <v>74.195652173913004</v>
      </c>
      <c r="AQ209" s="3"/>
      <c r="AR209" s="3"/>
      <c r="AS209" s="3"/>
      <c r="AT209" s="3"/>
      <c r="AU209" s="3"/>
      <c r="AV209" s="3"/>
      <c r="AW209" s="6"/>
      <c r="AX209" s="6"/>
    </row>
    <row r="210" spans="1:50" x14ac:dyDescent="0.2">
      <c r="A210" s="3" t="s">
        <v>614</v>
      </c>
      <c r="B210" s="3" t="s">
        <v>74</v>
      </c>
      <c r="C210" s="3">
        <v>8751581</v>
      </c>
      <c r="D210" s="3" t="s">
        <v>52</v>
      </c>
      <c r="E210" s="3" t="s">
        <v>46</v>
      </c>
      <c r="F210" s="3" t="s">
        <v>53</v>
      </c>
      <c r="G210" s="3" t="s">
        <v>53</v>
      </c>
      <c r="H210" s="3" t="s">
        <v>214</v>
      </c>
      <c r="I210" s="3" t="s">
        <v>519</v>
      </c>
      <c r="J210" s="20" t="s">
        <v>615</v>
      </c>
      <c r="K210" s="3">
        <v>1.5105740181269301E-3</v>
      </c>
      <c r="L210" s="3">
        <v>331</v>
      </c>
      <c r="M210" s="3">
        <v>33.507545582062399</v>
      </c>
      <c r="N210" s="20" t="s">
        <v>616</v>
      </c>
      <c r="O210" s="20" t="s">
        <v>617</v>
      </c>
      <c r="P210" s="3">
        <v>194</v>
      </c>
      <c r="Q210" s="3">
        <v>148</v>
      </c>
      <c r="R210" s="3">
        <v>15</v>
      </c>
      <c r="S210" s="3">
        <v>0</v>
      </c>
      <c r="T210" s="3">
        <v>0</v>
      </c>
      <c r="U210" s="3">
        <v>0</v>
      </c>
      <c r="V210" s="3">
        <v>0</v>
      </c>
      <c r="W210" s="3">
        <v>0</v>
      </c>
      <c r="X210" s="3">
        <v>0</v>
      </c>
      <c r="Y210" s="3">
        <v>0</v>
      </c>
      <c r="Z210" s="3">
        <v>0</v>
      </c>
      <c r="AA210" s="3">
        <v>0</v>
      </c>
      <c r="AB210" s="3">
        <v>0</v>
      </c>
      <c r="AC210" s="3">
        <v>0</v>
      </c>
      <c r="AD210" s="3">
        <v>4.20168067226891E-2</v>
      </c>
      <c r="AE210" s="3">
        <v>0.41456582633053202</v>
      </c>
      <c r="AF210" s="3">
        <v>0.543417366946779</v>
      </c>
      <c r="AG210" s="3">
        <v>0</v>
      </c>
      <c r="AH210" s="3">
        <v>0</v>
      </c>
      <c r="AI210" s="3">
        <v>0</v>
      </c>
      <c r="AJ210" s="3">
        <v>0.24929971988795499</v>
      </c>
      <c r="AK210" s="3">
        <v>0</v>
      </c>
      <c r="AL210" s="3">
        <v>0.75070028011204504</v>
      </c>
      <c r="AM210" s="3">
        <v>0</v>
      </c>
      <c r="AN210" s="3">
        <v>74.857142857142904</v>
      </c>
      <c r="AO210" s="3">
        <v>74.620437956204398</v>
      </c>
      <c r="AP210" s="3">
        <v>74.161111111111097</v>
      </c>
      <c r="AQ210" s="3"/>
      <c r="AR210" s="3"/>
      <c r="AS210" s="3"/>
      <c r="AT210" s="3"/>
      <c r="AU210" s="3"/>
      <c r="AV210" s="3"/>
      <c r="AW210" s="6"/>
      <c r="AX210" s="6"/>
    </row>
    <row r="211" spans="1:50" x14ac:dyDescent="0.2">
      <c r="A211" s="3" t="s">
        <v>618</v>
      </c>
      <c r="B211" s="3" t="s">
        <v>77</v>
      </c>
      <c r="C211" s="3">
        <v>80918909</v>
      </c>
      <c r="D211" s="3" t="s">
        <v>58</v>
      </c>
      <c r="E211" s="3" t="s">
        <v>46</v>
      </c>
      <c r="F211" s="3" t="s">
        <v>59</v>
      </c>
      <c r="G211" s="3" t="s">
        <v>59</v>
      </c>
      <c r="H211" s="3" t="s">
        <v>214</v>
      </c>
      <c r="I211" s="3" t="s">
        <v>519</v>
      </c>
      <c r="J211" s="20" t="s">
        <v>619</v>
      </c>
      <c r="K211" s="3">
        <v>4.5317220543806602E-2</v>
      </c>
      <c r="L211" s="3">
        <v>331</v>
      </c>
      <c r="M211" s="3">
        <v>2.17929816499429</v>
      </c>
      <c r="N211" s="20" t="s">
        <v>620</v>
      </c>
      <c r="O211" s="3">
        <v>1.9359864418249499</v>
      </c>
      <c r="P211" s="3">
        <v>212</v>
      </c>
      <c r="Q211" s="3">
        <v>0</v>
      </c>
      <c r="R211" s="3">
        <v>0</v>
      </c>
      <c r="S211" s="3">
        <v>0</v>
      </c>
      <c r="T211" s="3">
        <v>0</v>
      </c>
      <c r="U211" s="3">
        <v>1</v>
      </c>
      <c r="V211" s="3">
        <v>144</v>
      </c>
      <c r="W211" s="3">
        <v>0</v>
      </c>
      <c r="X211" s="3">
        <v>0</v>
      </c>
      <c r="Y211" s="3">
        <v>0</v>
      </c>
      <c r="Z211" s="3">
        <v>0</v>
      </c>
      <c r="AA211" s="3">
        <v>0</v>
      </c>
      <c r="AB211" s="3">
        <v>2.80112044817927E-3</v>
      </c>
      <c r="AC211" s="3">
        <v>0</v>
      </c>
      <c r="AD211" s="3">
        <v>0</v>
      </c>
      <c r="AE211" s="3">
        <v>0</v>
      </c>
      <c r="AF211" s="3">
        <v>0.59383753501400605</v>
      </c>
      <c r="AG211" s="3">
        <v>0</v>
      </c>
      <c r="AH211" s="3">
        <v>0</v>
      </c>
      <c r="AI211" s="3">
        <v>0.40336134453781503</v>
      </c>
      <c r="AJ211" s="3">
        <v>0</v>
      </c>
      <c r="AK211" s="3">
        <v>0.204481792717087</v>
      </c>
      <c r="AL211" s="3">
        <v>0.795518207282913</v>
      </c>
      <c r="AM211" s="3">
        <v>0</v>
      </c>
      <c r="AN211" s="3">
        <v>77</v>
      </c>
      <c r="AO211" s="3">
        <v>74.578125</v>
      </c>
      <c r="AP211" s="3">
        <v>74.242574257425701</v>
      </c>
      <c r="AQ211" s="3"/>
      <c r="AR211" s="3"/>
      <c r="AS211" s="3"/>
      <c r="AT211" s="3"/>
      <c r="AU211" s="3"/>
      <c r="AV211" s="3"/>
      <c r="AW211" s="6"/>
      <c r="AX211" s="6"/>
    </row>
    <row r="215" spans="1:50" x14ac:dyDescent="0.2">
      <c r="AU215" s="1"/>
      <c r="AV215" s="2"/>
    </row>
    <row r="216" spans="1:50" x14ac:dyDescent="0.2">
      <c r="AU216" s="1"/>
      <c r="AV216" s="2"/>
    </row>
    <row r="217" spans="1:50" x14ac:dyDescent="0.2">
      <c r="AU217" s="1"/>
      <c r="AV217" s="1"/>
    </row>
    <row r="218" spans="1:50" x14ac:dyDescent="0.2">
      <c r="AU218" s="1"/>
      <c r="AV218" s="2"/>
    </row>
    <row r="221" spans="1:50" x14ac:dyDescent="0.2">
      <c r="AU221" s="1"/>
      <c r="AV221" s="2"/>
    </row>
    <row r="223" spans="1:50" x14ac:dyDescent="0.2">
      <c r="AU223" s="1"/>
      <c r="AV223" s="2"/>
    </row>
    <row r="226" spans="47:48" x14ac:dyDescent="0.2">
      <c r="AU226" s="1"/>
      <c r="AV226" s="2"/>
    </row>
    <row r="227" spans="47:48" x14ac:dyDescent="0.2">
      <c r="AU227" s="1"/>
      <c r="AV227" s="2"/>
    </row>
    <row r="230" spans="47:48" x14ac:dyDescent="0.2">
      <c r="AU230" s="1"/>
      <c r="AV230" s="2"/>
    </row>
    <row r="233" spans="47:48" x14ac:dyDescent="0.2">
      <c r="AU233" s="1"/>
      <c r="AV233" s="2"/>
    </row>
    <row r="236" spans="47:48" x14ac:dyDescent="0.2">
      <c r="AU236" s="1"/>
      <c r="AV236" s="2"/>
    </row>
    <row r="244" spans="47:48" x14ac:dyDescent="0.2">
      <c r="AU244" s="1"/>
      <c r="AV244" s="2"/>
    </row>
    <row r="246" spans="47:48" x14ac:dyDescent="0.2">
      <c r="AU246" s="1"/>
      <c r="AV246" s="2"/>
    </row>
    <row r="247" spans="47:48" x14ac:dyDescent="0.2">
      <c r="AU247" s="1"/>
      <c r="AV247" s="2"/>
    </row>
    <row r="249" spans="47:48" x14ac:dyDescent="0.2">
      <c r="AU249" s="1"/>
      <c r="AV249" s="2"/>
    </row>
    <row r="250" spans="47:48" x14ac:dyDescent="0.2">
      <c r="AU250" s="1"/>
      <c r="AV250" s="2"/>
    </row>
    <row r="255" spans="47:48" x14ac:dyDescent="0.2">
      <c r="AU255" s="1"/>
      <c r="AV255" s="2"/>
    </row>
    <row r="257" spans="47:48" x14ac:dyDescent="0.2">
      <c r="AU257" s="1"/>
      <c r="AV257" s="2"/>
    </row>
  </sheetData>
  <sortState xmlns:xlrd2="http://schemas.microsoft.com/office/spreadsheetml/2017/richdata2" ref="A2:AP211">
    <sortCondition ref="H2:H211"/>
    <sortCondition ref="I2:I211"/>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DDC18-94C4-CD43-B051-7C27A5ED435E}">
  <sheetPr filterMode="1"/>
  <dimension ref="A1:BA260"/>
  <sheetViews>
    <sheetView workbookViewId="0">
      <selection activeCell="H47" sqref="H47"/>
    </sheetView>
  </sheetViews>
  <sheetFormatPr baseColWidth="10" defaultRowHeight="16" x14ac:dyDescent="0.2"/>
  <cols>
    <col min="1" max="1" width="16.5" customWidth="1"/>
    <col min="2" max="2" width="5.1640625" customWidth="1"/>
    <col min="3" max="3" width="11.6640625" bestFit="1" customWidth="1"/>
    <col min="4" max="7" width="0" hidden="1" customWidth="1"/>
    <col min="8" max="8" width="12.33203125" customWidth="1"/>
    <col min="9" max="9" width="15" customWidth="1"/>
    <col min="11" max="15" width="11" bestFit="1" customWidth="1"/>
    <col min="16" max="42" width="11" hidden="1" customWidth="1"/>
    <col min="43" max="46" width="0" hidden="1" customWidth="1"/>
    <col min="47" max="48" width="11" hidden="1" customWidth="1"/>
    <col min="49" max="50" width="71.6640625" style="9" customWidth="1"/>
  </cols>
  <sheetData>
    <row r="1" spans="1:53"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621</v>
      </c>
      <c r="AR1" s="3" t="s">
        <v>622</v>
      </c>
      <c r="AS1" s="3" t="s">
        <v>623</v>
      </c>
      <c r="AT1" s="3" t="s">
        <v>624</v>
      </c>
      <c r="AU1" s="3" t="s">
        <v>625</v>
      </c>
      <c r="AV1" s="3" t="s">
        <v>626</v>
      </c>
      <c r="AW1" s="6" t="s">
        <v>627</v>
      </c>
      <c r="AX1" s="6" t="s">
        <v>628</v>
      </c>
      <c r="BA1" t="s">
        <v>941</v>
      </c>
    </row>
    <row r="2" spans="1:53" hidden="1" x14ac:dyDescent="0.2">
      <c r="A2" s="3" t="s">
        <v>410</v>
      </c>
      <c r="B2" s="3" t="s">
        <v>66</v>
      </c>
      <c r="C2" s="3">
        <v>283559355</v>
      </c>
      <c r="D2" s="3" t="s">
        <v>71</v>
      </c>
      <c r="E2" s="3" t="s">
        <v>45</v>
      </c>
      <c r="F2" s="3" t="s">
        <v>59</v>
      </c>
      <c r="G2" s="3" t="s">
        <v>59</v>
      </c>
      <c r="H2" s="3" t="s">
        <v>408</v>
      </c>
      <c r="I2" s="3" t="s">
        <v>369</v>
      </c>
      <c r="J2" s="20" t="s">
        <v>411</v>
      </c>
      <c r="K2" s="3">
        <v>8.1433224755700397E-3</v>
      </c>
      <c r="L2" s="3">
        <v>307</v>
      </c>
      <c r="M2" s="3">
        <v>-22.128868965299901</v>
      </c>
      <c r="N2" s="20" t="s">
        <v>412</v>
      </c>
      <c r="O2" s="3" t="s">
        <v>55</v>
      </c>
      <c r="P2" s="3">
        <v>0</v>
      </c>
      <c r="Q2" s="3">
        <v>0</v>
      </c>
      <c r="R2" s="3">
        <v>0</v>
      </c>
      <c r="S2" s="3">
        <v>0</v>
      </c>
      <c r="T2" s="3">
        <v>207</v>
      </c>
      <c r="U2" s="3">
        <v>27</v>
      </c>
      <c r="V2" s="3">
        <v>0</v>
      </c>
      <c r="W2" s="3">
        <v>130</v>
      </c>
      <c r="X2" s="3">
        <v>0</v>
      </c>
      <c r="Y2" s="3">
        <v>0</v>
      </c>
      <c r="Z2" s="3">
        <v>0.35714285714285698</v>
      </c>
      <c r="AA2" s="3">
        <v>0.56868131868131899</v>
      </c>
      <c r="AB2" s="3">
        <v>7.4175824175824204E-2</v>
      </c>
      <c r="AC2" s="3">
        <v>0</v>
      </c>
      <c r="AD2" s="3">
        <v>0</v>
      </c>
      <c r="AE2" s="3">
        <v>0</v>
      </c>
      <c r="AF2" s="3">
        <v>0</v>
      </c>
      <c r="AG2" s="3">
        <v>0</v>
      </c>
      <c r="AH2" s="3">
        <v>0</v>
      </c>
      <c r="AI2" s="3">
        <v>0</v>
      </c>
      <c r="AJ2" s="3">
        <v>0</v>
      </c>
      <c r="AK2" s="3">
        <v>0.25274725274725302</v>
      </c>
      <c r="AL2" s="3">
        <v>0</v>
      </c>
      <c r="AM2" s="3">
        <v>0.74725274725274704</v>
      </c>
      <c r="AN2" s="3">
        <v>8.0434782608695592</v>
      </c>
      <c r="AO2" s="3">
        <v>15.681818181818199</v>
      </c>
      <c r="AP2" s="3">
        <v>14.3448275862069</v>
      </c>
      <c r="AQ2" s="3"/>
      <c r="AR2" s="3"/>
      <c r="AS2" s="3"/>
      <c r="AT2" s="3"/>
      <c r="AU2" s="3"/>
      <c r="AV2" s="3"/>
      <c r="AW2" s="6"/>
      <c r="AX2" s="6"/>
      <c r="BA2">
        <f>AVERAGE(O2:O300)</f>
        <v>2.4607015912879335</v>
      </c>
    </row>
    <row r="3" spans="1:53" hidden="1" x14ac:dyDescent="0.2">
      <c r="A3" s="3" t="s">
        <v>187</v>
      </c>
      <c r="B3" s="3" t="s">
        <v>160</v>
      </c>
      <c r="C3" s="3">
        <v>322704032</v>
      </c>
      <c r="D3" s="3" t="s">
        <v>71</v>
      </c>
      <c r="E3" s="3" t="s">
        <v>45</v>
      </c>
      <c r="F3" s="3" t="s">
        <v>59</v>
      </c>
      <c r="G3" s="3" t="s">
        <v>59</v>
      </c>
      <c r="H3" s="3" t="s">
        <v>142</v>
      </c>
      <c r="I3" s="3" t="s">
        <v>181</v>
      </c>
      <c r="J3" s="20" t="s">
        <v>188</v>
      </c>
      <c r="K3" s="3">
        <v>5.9101654846335202E-3</v>
      </c>
      <c r="L3" s="3">
        <v>423</v>
      </c>
      <c r="M3" s="3">
        <v>-0.775035684387124</v>
      </c>
      <c r="N3" s="3">
        <v>9.1501448145982396E-4</v>
      </c>
      <c r="O3" s="3" t="s">
        <v>55</v>
      </c>
      <c r="P3" s="3">
        <v>0</v>
      </c>
      <c r="Q3" s="3">
        <v>0</v>
      </c>
      <c r="R3" s="3">
        <v>0</v>
      </c>
      <c r="S3" s="3">
        <v>0</v>
      </c>
      <c r="T3" s="3">
        <v>369</v>
      </c>
      <c r="U3" s="3">
        <v>5</v>
      </c>
      <c r="V3" s="3">
        <v>0</v>
      </c>
      <c r="W3" s="3">
        <v>55</v>
      </c>
      <c r="X3" s="3">
        <v>0</v>
      </c>
      <c r="Y3" s="3">
        <v>0</v>
      </c>
      <c r="Z3" s="3">
        <v>0.128205128205128</v>
      </c>
      <c r="AA3" s="3">
        <v>0.86013986013985999</v>
      </c>
      <c r="AB3" s="3">
        <v>1.1655011655011699E-2</v>
      </c>
      <c r="AC3" s="3">
        <v>0</v>
      </c>
      <c r="AD3" s="3">
        <v>0</v>
      </c>
      <c r="AE3" s="3">
        <v>0</v>
      </c>
      <c r="AF3" s="3">
        <v>0</v>
      </c>
      <c r="AG3" s="3">
        <v>0</v>
      </c>
      <c r="AH3" s="3">
        <v>0</v>
      </c>
      <c r="AI3" s="3">
        <v>0</v>
      </c>
      <c r="AJ3" s="3">
        <v>0</v>
      </c>
      <c r="AK3" s="3">
        <v>7.5757575757575704E-2</v>
      </c>
      <c r="AL3" s="3">
        <v>0</v>
      </c>
      <c r="AM3" s="3">
        <v>0.92424242424242398</v>
      </c>
      <c r="AN3" s="3">
        <v>0.2</v>
      </c>
      <c r="AO3" s="3">
        <v>0.218867924528302</v>
      </c>
      <c r="AP3" s="3">
        <v>0.28767123287671198</v>
      </c>
      <c r="AQ3" s="3" t="s">
        <v>914</v>
      </c>
      <c r="AR3" s="3"/>
      <c r="AS3" s="3" t="s">
        <v>635</v>
      </c>
      <c r="AT3" s="3" t="s">
        <v>636</v>
      </c>
      <c r="AU3" s="4">
        <v>0.88</v>
      </c>
      <c r="AV3" s="5">
        <v>0.7853</v>
      </c>
      <c r="AW3" s="6"/>
      <c r="AX3" s="6"/>
    </row>
    <row r="4" spans="1:53" hidden="1" x14ac:dyDescent="0.2">
      <c r="A4" s="3" t="s">
        <v>377</v>
      </c>
      <c r="B4" s="3" t="s">
        <v>224</v>
      </c>
      <c r="C4" s="3">
        <v>447957443</v>
      </c>
      <c r="D4" s="3" t="s">
        <v>52</v>
      </c>
      <c r="E4" s="3" t="s">
        <v>53</v>
      </c>
      <c r="F4" s="3" t="s">
        <v>46</v>
      </c>
      <c r="G4" s="3" t="s">
        <v>53</v>
      </c>
      <c r="H4" s="3" t="s">
        <v>86</v>
      </c>
      <c r="I4" s="3" t="s">
        <v>369</v>
      </c>
      <c r="J4" s="20" t="s">
        <v>378</v>
      </c>
      <c r="K4" s="3">
        <v>0.125</v>
      </c>
      <c r="L4" s="3">
        <v>280</v>
      </c>
      <c r="M4" s="3">
        <v>-3.1451724079990799</v>
      </c>
      <c r="N4" s="3">
        <v>7.4284726091550495E-4</v>
      </c>
      <c r="O4" s="3" t="s">
        <v>55</v>
      </c>
      <c r="P4" s="3">
        <v>318</v>
      </c>
      <c r="Q4" s="3">
        <v>39</v>
      </c>
      <c r="R4" s="3">
        <v>7</v>
      </c>
      <c r="S4" s="3">
        <v>0</v>
      </c>
      <c r="T4" s="3">
        <v>0</v>
      </c>
      <c r="U4" s="3">
        <v>0</v>
      </c>
      <c r="V4" s="3">
        <v>0</v>
      </c>
      <c r="W4" s="3">
        <v>0</v>
      </c>
      <c r="X4" s="3">
        <v>0</v>
      </c>
      <c r="Y4" s="3">
        <v>0</v>
      </c>
      <c r="Z4" s="3">
        <v>0</v>
      </c>
      <c r="AA4" s="3">
        <v>0</v>
      </c>
      <c r="AB4" s="3">
        <v>0</v>
      </c>
      <c r="AC4" s="3">
        <v>0</v>
      </c>
      <c r="AD4" s="3">
        <v>1.9230769230769201E-2</v>
      </c>
      <c r="AE4" s="3">
        <v>0.107142857142857</v>
      </c>
      <c r="AF4" s="3">
        <v>0.87362637362637396</v>
      </c>
      <c r="AG4" s="3">
        <v>0</v>
      </c>
      <c r="AH4" s="3">
        <v>0</v>
      </c>
      <c r="AI4" s="3">
        <v>0</v>
      </c>
      <c r="AJ4" s="3">
        <v>7.2802197802197793E-2</v>
      </c>
      <c r="AK4" s="3">
        <v>0</v>
      </c>
      <c r="AL4" s="3">
        <v>0.92719780219780201</v>
      </c>
      <c r="AM4" s="3">
        <v>0</v>
      </c>
      <c r="AN4" s="3">
        <v>6.5</v>
      </c>
      <c r="AO4" s="3">
        <v>8.5620689655172395</v>
      </c>
      <c r="AP4" s="3">
        <v>8.0500000000000007</v>
      </c>
      <c r="AQ4" s="3"/>
      <c r="AR4" s="3"/>
      <c r="AS4" s="3"/>
      <c r="AT4" s="3"/>
      <c r="AU4" s="3"/>
      <c r="AV4" s="3"/>
      <c r="AW4" s="6"/>
      <c r="AX4" s="6"/>
    </row>
    <row r="5" spans="1:53" hidden="1" x14ac:dyDescent="0.2">
      <c r="A5" s="3" t="s">
        <v>381</v>
      </c>
      <c r="B5" s="3" t="s">
        <v>90</v>
      </c>
      <c r="C5" s="3">
        <v>550994220</v>
      </c>
      <c r="D5" s="3" t="s">
        <v>52</v>
      </c>
      <c r="E5" s="3" t="s">
        <v>46</v>
      </c>
      <c r="F5" s="3" t="s">
        <v>53</v>
      </c>
      <c r="G5" s="3" t="s">
        <v>53</v>
      </c>
      <c r="H5" s="3" t="s">
        <v>382</v>
      </c>
      <c r="I5" s="3" t="s">
        <v>369</v>
      </c>
      <c r="J5" s="20" t="s">
        <v>383</v>
      </c>
      <c r="K5" s="3">
        <v>8.9285714285714302E-2</v>
      </c>
      <c r="L5" s="3">
        <v>280</v>
      </c>
      <c r="M5" s="3">
        <v>-0.19155895722900099</v>
      </c>
      <c r="N5" s="3">
        <v>9.3155933615928707E-3</v>
      </c>
      <c r="O5" s="3" t="s">
        <v>55</v>
      </c>
      <c r="P5" s="3">
        <v>352</v>
      </c>
      <c r="Q5" s="3">
        <v>8</v>
      </c>
      <c r="R5" s="3">
        <v>4</v>
      </c>
      <c r="S5" s="3">
        <v>0</v>
      </c>
      <c r="T5" s="3">
        <v>0</v>
      </c>
      <c r="U5" s="3">
        <v>0</v>
      </c>
      <c r="V5" s="3">
        <v>0</v>
      </c>
      <c r="W5" s="3">
        <v>0</v>
      </c>
      <c r="X5" s="3">
        <v>0</v>
      </c>
      <c r="Y5" s="3">
        <v>0</v>
      </c>
      <c r="Z5" s="3">
        <v>0</v>
      </c>
      <c r="AA5" s="3">
        <v>0</v>
      </c>
      <c r="AB5" s="3">
        <v>0</v>
      </c>
      <c r="AC5" s="3">
        <v>0</v>
      </c>
      <c r="AD5" s="3">
        <v>1.0989010989011E-2</v>
      </c>
      <c r="AE5" s="3">
        <v>2.1978021978022001E-2</v>
      </c>
      <c r="AF5" s="3">
        <v>0.96703296703296704</v>
      </c>
      <c r="AG5" s="3">
        <v>0</v>
      </c>
      <c r="AH5" s="3">
        <v>0</v>
      </c>
      <c r="AI5" s="3">
        <v>0</v>
      </c>
      <c r="AJ5" s="3">
        <v>2.1978021978022001E-2</v>
      </c>
      <c r="AK5" s="3">
        <v>0</v>
      </c>
      <c r="AL5" s="3">
        <v>0.97802197802197799</v>
      </c>
      <c r="AM5" s="3">
        <v>0</v>
      </c>
      <c r="AN5" s="3">
        <v>0.1</v>
      </c>
      <c r="AO5" s="3">
        <v>0.44</v>
      </c>
      <c r="AP5" s="3">
        <v>0.32324723247232501</v>
      </c>
      <c r="AQ5" s="3"/>
      <c r="AR5" s="3"/>
      <c r="AS5" s="3"/>
      <c r="AT5" s="3"/>
      <c r="AU5" s="3"/>
      <c r="AV5" s="3"/>
      <c r="AW5" s="6"/>
      <c r="AX5" s="6"/>
    </row>
    <row r="6" spans="1:53" hidden="1" x14ac:dyDescent="0.2">
      <c r="A6" s="3" t="s">
        <v>514</v>
      </c>
      <c r="B6" s="3" t="s">
        <v>105</v>
      </c>
      <c r="C6" s="3">
        <v>243762540</v>
      </c>
      <c r="D6" s="3" t="s">
        <v>156</v>
      </c>
      <c r="E6" s="3" t="s">
        <v>53</v>
      </c>
      <c r="F6" s="3" t="s">
        <v>59</v>
      </c>
      <c r="G6" s="3" t="s">
        <v>53</v>
      </c>
      <c r="H6" s="3" t="s">
        <v>173</v>
      </c>
      <c r="I6" s="3" t="s">
        <v>432</v>
      </c>
      <c r="J6" s="20" t="s">
        <v>515</v>
      </c>
      <c r="K6" s="3">
        <v>0.192675159235669</v>
      </c>
      <c r="L6" s="3">
        <v>314</v>
      </c>
      <c r="M6" s="3">
        <v>-5.6533856753550999</v>
      </c>
      <c r="N6" s="3">
        <v>2.7554980299120701E-3</v>
      </c>
      <c r="O6" s="3" t="s">
        <v>55</v>
      </c>
      <c r="P6" s="3">
        <v>0</v>
      </c>
      <c r="Q6" s="3">
        <v>0</v>
      </c>
      <c r="R6" s="3">
        <v>68</v>
      </c>
      <c r="S6" s="3">
        <v>0</v>
      </c>
      <c r="T6" s="3">
        <v>0</v>
      </c>
      <c r="U6" s="3">
        <v>133</v>
      </c>
      <c r="V6" s="3">
        <v>0</v>
      </c>
      <c r="W6" s="3">
        <v>0</v>
      </c>
      <c r="X6" s="3">
        <v>156</v>
      </c>
      <c r="Y6" s="3">
        <v>0</v>
      </c>
      <c r="Z6" s="3">
        <v>0</v>
      </c>
      <c r="AA6" s="3">
        <v>0</v>
      </c>
      <c r="AB6" s="3">
        <v>0.37254901960784298</v>
      </c>
      <c r="AC6" s="3">
        <v>0.436974789915966</v>
      </c>
      <c r="AD6" s="3">
        <v>0.19047619047618999</v>
      </c>
      <c r="AE6" s="3">
        <v>0</v>
      </c>
      <c r="AF6" s="3">
        <v>0</v>
      </c>
      <c r="AG6" s="3">
        <v>0</v>
      </c>
      <c r="AH6" s="3">
        <v>0</v>
      </c>
      <c r="AI6" s="3">
        <v>0</v>
      </c>
      <c r="AJ6" s="3">
        <v>0.40896358543417399</v>
      </c>
      <c r="AK6" s="3">
        <v>0.59103641456582601</v>
      </c>
      <c r="AL6" s="3">
        <v>0</v>
      </c>
      <c r="AM6" s="3">
        <v>0</v>
      </c>
      <c r="AN6" s="3">
        <v>112.847457627119</v>
      </c>
      <c r="AO6" s="3">
        <v>111.616541353383</v>
      </c>
      <c r="AP6" s="3">
        <v>108.91803278688499</v>
      </c>
      <c r="AQ6" s="3"/>
      <c r="AR6" s="3"/>
      <c r="AS6" s="3"/>
      <c r="AT6" s="3"/>
      <c r="AU6" s="3"/>
      <c r="AV6" s="3"/>
      <c r="AW6" s="6"/>
      <c r="AX6" s="6"/>
    </row>
    <row r="7" spans="1:53" ht="70" hidden="1" x14ac:dyDescent="0.2">
      <c r="A7" s="3" t="s">
        <v>462</v>
      </c>
      <c r="B7" s="3" t="s">
        <v>57</v>
      </c>
      <c r="C7" s="3">
        <v>74519901</v>
      </c>
      <c r="D7" s="3" t="s">
        <v>44</v>
      </c>
      <c r="E7" s="3" t="s">
        <v>45</v>
      </c>
      <c r="F7" s="3" t="s">
        <v>46</v>
      </c>
      <c r="G7" s="3" t="s">
        <v>46</v>
      </c>
      <c r="H7" s="3" t="s">
        <v>255</v>
      </c>
      <c r="I7" s="3" t="s">
        <v>432</v>
      </c>
      <c r="J7" s="20" t="s">
        <v>463</v>
      </c>
      <c r="K7" s="3">
        <v>1.1437908496731999E-2</v>
      </c>
      <c r="L7" s="3">
        <v>306</v>
      </c>
      <c r="M7" s="3">
        <v>-0.95296531855385103</v>
      </c>
      <c r="N7" s="20" t="s">
        <v>464</v>
      </c>
      <c r="O7" s="3">
        <v>93.660087193512695</v>
      </c>
      <c r="P7" s="3">
        <v>8</v>
      </c>
      <c r="Q7" s="3">
        <v>0</v>
      </c>
      <c r="R7" s="3">
        <v>0</v>
      </c>
      <c r="S7" s="3">
        <v>266</v>
      </c>
      <c r="T7" s="3">
        <v>83</v>
      </c>
      <c r="U7" s="3">
        <v>0</v>
      </c>
      <c r="V7" s="3">
        <v>0</v>
      </c>
      <c r="W7" s="3">
        <v>0</v>
      </c>
      <c r="X7" s="3">
        <v>0</v>
      </c>
      <c r="Y7" s="3">
        <v>0</v>
      </c>
      <c r="Z7" s="3">
        <v>0</v>
      </c>
      <c r="AA7" s="3">
        <v>0.23249299719888</v>
      </c>
      <c r="AB7" s="3">
        <v>0</v>
      </c>
      <c r="AC7" s="3">
        <v>0</v>
      </c>
      <c r="AD7" s="3">
        <v>0</v>
      </c>
      <c r="AE7" s="3">
        <v>0</v>
      </c>
      <c r="AF7" s="3">
        <v>2.2408963585434202E-2</v>
      </c>
      <c r="AG7" s="3">
        <v>0.74509803921568596</v>
      </c>
      <c r="AH7" s="3">
        <v>0</v>
      </c>
      <c r="AI7" s="3">
        <v>0</v>
      </c>
      <c r="AJ7" s="3">
        <v>0</v>
      </c>
      <c r="AK7" s="3">
        <v>0</v>
      </c>
      <c r="AL7" s="3">
        <v>0.39495798319327702</v>
      </c>
      <c r="AM7" s="3">
        <v>0.60504201680672298</v>
      </c>
      <c r="AN7" s="3">
        <v>0.28571428571428598</v>
      </c>
      <c r="AO7" s="3">
        <v>0.68584070796460195</v>
      </c>
      <c r="AP7" s="3">
        <v>1.45205479452055</v>
      </c>
      <c r="AQ7" s="3" t="s">
        <v>756</v>
      </c>
      <c r="AR7" s="3" t="s">
        <v>739</v>
      </c>
      <c r="AS7" s="3" t="s">
        <v>757</v>
      </c>
      <c r="AT7" s="3" t="s">
        <v>636</v>
      </c>
      <c r="AU7" s="4">
        <v>1</v>
      </c>
      <c r="AV7" s="5">
        <v>0.97550000000000003</v>
      </c>
      <c r="AW7" s="8" t="s">
        <v>741</v>
      </c>
      <c r="AX7" s="6" t="s">
        <v>742</v>
      </c>
    </row>
    <row r="8" spans="1:53" hidden="1" x14ac:dyDescent="0.2">
      <c r="A8" s="3" t="s">
        <v>116</v>
      </c>
      <c r="B8" s="3" t="s">
        <v>90</v>
      </c>
      <c r="C8" s="3">
        <v>627219003</v>
      </c>
      <c r="D8" s="3" t="s">
        <v>67</v>
      </c>
      <c r="E8" s="3" t="s">
        <v>46</v>
      </c>
      <c r="F8" s="3" t="s">
        <v>53</v>
      </c>
      <c r="G8" s="3" t="s">
        <v>46</v>
      </c>
      <c r="H8" s="3" t="s">
        <v>117</v>
      </c>
      <c r="I8" s="3" t="s">
        <v>48</v>
      </c>
      <c r="J8" s="20" t="s">
        <v>118</v>
      </c>
      <c r="K8" s="3">
        <v>4.77326968973746E-3</v>
      </c>
      <c r="L8" s="3">
        <v>419</v>
      </c>
      <c r="M8" s="3">
        <v>-0.46602014895831501</v>
      </c>
      <c r="N8" s="3">
        <v>1.40211565274722E-4</v>
      </c>
      <c r="O8" s="3">
        <v>82.630228062316704</v>
      </c>
      <c r="P8" s="3">
        <v>0</v>
      </c>
      <c r="Q8" s="3">
        <v>81</v>
      </c>
      <c r="R8" s="3">
        <v>348</v>
      </c>
      <c r="S8" s="3">
        <v>0</v>
      </c>
      <c r="T8" s="3">
        <v>0</v>
      </c>
      <c r="U8" s="3">
        <v>0</v>
      </c>
      <c r="V8" s="3">
        <v>0</v>
      </c>
      <c r="W8" s="3">
        <v>0</v>
      </c>
      <c r="X8" s="3">
        <v>0</v>
      </c>
      <c r="Y8" s="3">
        <v>0</v>
      </c>
      <c r="Z8" s="3">
        <v>0</v>
      </c>
      <c r="AA8" s="3">
        <v>0</v>
      </c>
      <c r="AB8" s="3">
        <v>0</v>
      </c>
      <c r="AC8" s="3">
        <v>0</v>
      </c>
      <c r="AD8" s="3">
        <v>0.81118881118881103</v>
      </c>
      <c r="AE8" s="3">
        <v>0.188811188811189</v>
      </c>
      <c r="AF8" s="3">
        <v>0</v>
      </c>
      <c r="AG8" s="3">
        <v>0</v>
      </c>
      <c r="AH8" s="3">
        <v>0</v>
      </c>
      <c r="AI8" s="3">
        <v>0</v>
      </c>
      <c r="AJ8" s="3">
        <v>0.90559440559440596</v>
      </c>
      <c r="AK8" s="3">
        <v>0</v>
      </c>
      <c r="AL8" s="3">
        <v>9.4405594405594401E-2</v>
      </c>
      <c r="AM8" s="3">
        <v>0</v>
      </c>
      <c r="AN8" s="3" t="s">
        <v>55</v>
      </c>
      <c r="AO8" s="3">
        <v>0.19620253164557</v>
      </c>
      <c r="AP8" s="3">
        <v>0.121470588235294</v>
      </c>
      <c r="AQ8" s="3" t="s">
        <v>914</v>
      </c>
      <c r="AR8" s="3"/>
      <c r="AS8" s="3" t="s">
        <v>635</v>
      </c>
      <c r="AT8" s="3" t="s">
        <v>636</v>
      </c>
      <c r="AU8" s="4">
        <v>1</v>
      </c>
      <c r="AV8" s="5">
        <v>0.92649999999999999</v>
      </c>
      <c r="AW8" s="6"/>
      <c r="AX8" s="6"/>
    </row>
    <row r="9" spans="1:53" hidden="1" x14ac:dyDescent="0.2">
      <c r="A9" s="3" t="s">
        <v>393</v>
      </c>
      <c r="B9" s="3" t="s">
        <v>169</v>
      </c>
      <c r="C9" s="3">
        <v>429405425</v>
      </c>
      <c r="D9" s="3" t="s">
        <v>71</v>
      </c>
      <c r="E9" s="3" t="s">
        <v>45</v>
      </c>
      <c r="F9" s="3" t="s">
        <v>59</v>
      </c>
      <c r="G9" s="3" t="s">
        <v>59</v>
      </c>
      <c r="H9" s="3" t="s">
        <v>382</v>
      </c>
      <c r="I9" s="3" t="s">
        <v>369</v>
      </c>
      <c r="J9" s="20" t="s">
        <v>394</v>
      </c>
      <c r="K9" s="3">
        <v>1.78571428571428E-3</v>
      </c>
      <c r="L9" s="3">
        <v>280</v>
      </c>
      <c r="M9" s="3">
        <v>-9.5104033854709105</v>
      </c>
      <c r="N9" s="20" t="s">
        <v>395</v>
      </c>
      <c r="O9" s="3">
        <v>55.205782283099701</v>
      </c>
      <c r="P9" s="3">
        <v>0</v>
      </c>
      <c r="Q9" s="3">
        <v>0</v>
      </c>
      <c r="R9" s="3">
        <v>0</v>
      </c>
      <c r="S9" s="3">
        <v>0</v>
      </c>
      <c r="T9" s="3">
        <v>364</v>
      </c>
      <c r="U9" s="3">
        <v>0</v>
      </c>
      <c r="V9" s="3">
        <v>0</v>
      </c>
      <c r="W9" s="3">
        <v>0</v>
      </c>
      <c r="X9" s="3">
        <v>0</v>
      </c>
      <c r="Y9" s="3">
        <v>0</v>
      </c>
      <c r="Z9" s="3">
        <v>0</v>
      </c>
      <c r="AA9" s="3">
        <v>1</v>
      </c>
      <c r="AB9" s="3">
        <v>0</v>
      </c>
      <c r="AC9" s="3">
        <v>0</v>
      </c>
      <c r="AD9" s="3">
        <v>0</v>
      </c>
      <c r="AE9" s="3">
        <v>0</v>
      </c>
      <c r="AF9" s="3">
        <v>0</v>
      </c>
      <c r="AG9" s="3">
        <v>0</v>
      </c>
      <c r="AH9" s="3">
        <v>0</v>
      </c>
      <c r="AI9" s="3">
        <v>0</v>
      </c>
      <c r="AJ9" s="3">
        <v>0</v>
      </c>
      <c r="AK9" s="3">
        <v>0</v>
      </c>
      <c r="AL9" s="3">
        <v>0</v>
      </c>
      <c r="AM9" s="3">
        <v>1</v>
      </c>
      <c r="AN9" s="3" t="s">
        <v>55</v>
      </c>
      <c r="AO9" s="3" t="s">
        <v>55</v>
      </c>
      <c r="AP9" s="3">
        <v>0.32214285714285701</v>
      </c>
      <c r="AQ9" s="3"/>
      <c r="AR9" s="3"/>
      <c r="AS9" s="3"/>
      <c r="AT9" s="3"/>
      <c r="AU9" s="3"/>
      <c r="AV9" s="3"/>
      <c r="AW9" s="6"/>
      <c r="AX9" s="6"/>
    </row>
    <row r="10" spans="1:53" hidden="1" x14ac:dyDescent="0.2">
      <c r="A10" s="3" t="s">
        <v>271</v>
      </c>
      <c r="B10" s="3" t="s">
        <v>97</v>
      </c>
      <c r="C10" s="3">
        <v>60814509</v>
      </c>
      <c r="D10" s="3" t="s">
        <v>52</v>
      </c>
      <c r="E10" s="3" t="s">
        <v>46</v>
      </c>
      <c r="F10" s="3" t="s">
        <v>53</v>
      </c>
      <c r="G10" s="3" t="s">
        <v>53</v>
      </c>
      <c r="H10" s="3" t="s">
        <v>262</v>
      </c>
      <c r="I10" s="3" t="s">
        <v>259</v>
      </c>
      <c r="J10" s="20" t="s">
        <v>272</v>
      </c>
      <c r="K10" s="3">
        <v>0.36351351351351302</v>
      </c>
      <c r="L10" s="3">
        <v>370</v>
      </c>
      <c r="M10" s="3">
        <v>0.93031966253814202</v>
      </c>
      <c r="N10" s="20" t="s">
        <v>273</v>
      </c>
      <c r="O10" s="3">
        <v>36.335740544604299</v>
      </c>
      <c r="P10" s="3">
        <v>406</v>
      </c>
      <c r="Q10" s="3">
        <v>16</v>
      </c>
      <c r="R10" s="3">
        <v>7</v>
      </c>
      <c r="S10" s="3">
        <v>0</v>
      </c>
      <c r="T10" s="3">
        <v>0</v>
      </c>
      <c r="U10" s="3">
        <v>0</v>
      </c>
      <c r="V10" s="3">
        <v>0</v>
      </c>
      <c r="W10" s="3">
        <v>0</v>
      </c>
      <c r="X10" s="3">
        <v>0</v>
      </c>
      <c r="Y10" s="3">
        <v>0</v>
      </c>
      <c r="Z10" s="3">
        <v>0</v>
      </c>
      <c r="AA10" s="3">
        <v>0</v>
      </c>
      <c r="AB10" s="3">
        <v>0</v>
      </c>
      <c r="AC10" s="3">
        <v>0</v>
      </c>
      <c r="AD10" s="3">
        <v>1.6317016317016299E-2</v>
      </c>
      <c r="AE10" s="3">
        <v>3.7296037296037303E-2</v>
      </c>
      <c r="AF10" s="3">
        <v>0.94638694638694598</v>
      </c>
      <c r="AG10" s="3">
        <v>0</v>
      </c>
      <c r="AH10" s="3">
        <v>0</v>
      </c>
      <c r="AI10" s="3">
        <v>0</v>
      </c>
      <c r="AJ10" s="3">
        <v>3.4965034965035002E-2</v>
      </c>
      <c r="AK10" s="3">
        <v>0</v>
      </c>
      <c r="AL10" s="3">
        <v>0.965034965034965</v>
      </c>
      <c r="AM10" s="3">
        <v>0</v>
      </c>
      <c r="AN10" s="3">
        <v>24.1666666666667</v>
      </c>
      <c r="AO10" s="3">
        <v>23.3466666666667</v>
      </c>
      <c r="AP10" s="3">
        <v>23.667191977077401</v>
      </c>
      <c r="AQ10" s="3"/>
      <c r="AR10" s="3"/>
      <c r="AS10" s="3"/>
      <c r="AT10" s="3"/>
      <c r="AU10" s="3"/>
      <c r="AV10" s="3"/>
      <c r="AW10" s="6"/>
      <c r="AX10" s="6"/>
    </row>
    <row r="11" spans="1:53" hidden="1" x14ac:dyDescent="0.2">
      <c r="A11" s="3" t="s">
        <v>159</v>
      </c>
      <c r="B11" s="3" t="s">
        <v>160</v>
      </c>
      <c r="C11" s="3">
        <v>69927979</v>
      </c>
      <c r="D11" s="3" t="s">
        <v>127</v>
      </c>
      <c r="E11" s="3" t="s">
        <v>53</v>
      </c>
      <c r="F11" s="3" t="s">
        <v>45</v>
      </c>
      <c r="G11" s="3" t="s">
        <v>53</v>
      </c>
      <c r="H11" s="3" t="s">
        <v>153</v>
      </c>
      <c r="I11" s="3" t="s">
        <v>48</v>
      </c>
      <c r="J11" s="20" t="s">
        <v>161</v>
      </c>
      <c r="K11" s="3">
        <v>4.8192771084337701E-3</v>
      </c>
      <c r="L11" s="3">
        <v>415</v>
      </c>
      <c r="M11" s="3">
        <v>-2.3861532673227E-2</v>
      </c>
      <c r="N11" s="3">
        <v>3.8241632184689198E-3</v>
      </c>
      <c r="O11" s="3">
        <v>12.9335996588048</v>
      </c>
      <c r="P11" s="3">
        <v>0</v>
      </c>
      <c r="Q11" s="3">
        <v>0</v>
      </c>
      <c r="R11" s="3">
        <v>75</v>
      </c>
      <c r="S11" s="3">
        <v>0</v>
      </c>
      <c r="T11" s="3">
        <v>141</v>
      </c>
      <c r="U11" s="3">
        <v>0</v>
      </c>
      <c r="V11" s="3">
        <v>0</v>
      </c>
      <c r="W11" s="3">
        <v>0</v>
      </c>
      <c r="X11" s="3">
        <v>0</v>
      </c>
      <c r="Y11" s="3">
        <v>213</v>
      </c>
      <c r="Z11" s="3">
        <v>0</v>
      </c>
      <c r="AA11" s="3">
        <v>0.32867132867132898</v>
      </c>
      <c r="AB11" s="3">
        <v>0</v>
      </c>
      <c r="AC11" s="3">
        <v>0</v>
      </c>
      <c r="AD11" s="3">
        <v>0.17482517482517501</v>
      </c>
      <c r="AE11" s="3">
        <v>0</v>
      </c>
      <c r="AF11" s="3">
        <v>0</v>
      </c>
      <c r="AG11" s="3">
        <v>0</v>
      </c>
      <c r="AH11" s="3">
        <v>0.49650349650349701</v>
      </c>
      <c r="AI11" s="3">
        <v>0</v>
      </c>
      <c r="AJ11" s="3">
        <v>0.42307692307692302</v>
      </c>
      <c r="AK11" s="3">
        <v>0</v>
      </c>
      <c r="AL11" s="3">
        <v>0</v>
      </c>
      <c r="AM11" s="3">
        <v>0.57692307692307698</v>
      </c>
      <c r="AN11" s="3">
        <v>1.44353977464789E-2</v>
      </c>
      <c r="AO11" s="3">
        <v>1.6268058786407798E-2</v>
      </c>
      <c r="AP11" s="3">
        <v>1.46804875362319E-2</v>
      </c>
      <c r="AQ11" s="3"/>
      <c r="AR11" s="3"/>
      <c r="AS11" s="3"/>
      <c r="AT11" s="3"/>
      <c r="AU11" s="3"/>
      <c r="AV11" s="3"/>
      <c r="AW11" s="6"/>
      <c r="AX11" s="6"/>
    </row>
    <row r="12" spans="1:53" ht="98" hidden="1" x14ac:dyDescent="0.2">
      <c r="A12" s="3" t="s">
        <v>164</v>
      </c>
      <c r="B12" s="3" t="s">
        <v>70</v>
      </c>
      <c r="C12" s="3">
        <v>133393354</v>
      </c>
      <c r="D12" s="3" t="s">
        <v>71</v>
      </c>
      <c r="E12" s="3" t="s">
        <v>45</v>
      </c>
      <c r="F12" s="3" t="s">
        <v>59</v>
      </c>
      <c r="G12" s="3" t="s">
        <v>59</v>
      </c>
      <c r="H12" s="3" t="s">
        <v>153</v>
      </c>
      <c r="I12" s="3" t="s">
        <v>48</v>
      </c>
      <c r="J12" s="20" t="s">
        <v>165</v>
      </c>
      <c r="K12" s="3">
        <v>7.9518072289156597E-2</v>
      </c>
      <c r="L12" s="3">
        <v>415</v>
      </c>
      <c r="M12" s="3">
        <v>-5.6746014871326403E-3</v>
      </c>
      <c r="N12" s="3">
        <v>6.5659109756628998E-3</v>
      </c>
      <c r="O12" s="3">
        <v>12.3885846130887</v>
      </c>
      <c r="P12" s="3">
        <v>0</v>
      </c>
      <c r="Q12" s="3">
        <v>0</v>
      </c>
      <c r="R12" s="3">
        <v>0</v>
      </c>
      <c r="S12" s="3">
        <v>0</v>
      </c>
      <c r="T12" s="3">
        <v>154</v>
      </c>
      <c r="U12" s="3">
        <v>99</v>
      </c>
      <c r="V12" s="3">
        <v>0</v>
      </c>
      <c r="W12" s="3">
        <v>176</v>
      </c>
      <c r="X12" s="3">
        <v>0</v>
      </c>
      <c r="Y12" s="3">
        <v>0</v>
      </c>
      <c r="Z12" s="3">
        <v>0.41025641025641002</v>
      </c>
      <c r="AA12" s="3">
        <v>0.35897435897435898</v>
      </c>
      <c r="AB12" s="3">
        <v>0.230769230769231</v>
      </c>
      <c r="AC12" s="3">
        <v>0</v>
      </c>
      <c r="AD12" s="3">
        <v>0</v>
      </c>
      <c r="AE12" s="3">
        <v>0</v>
      </c>
      <c r="AF12" s="3">
        <v>0</v>
      </c>
      <c r="AG12" s="3">
        <v>0</v>
      </c>
      <c r="AH12" s="3">
        <v>0</v>
      </c>
      <c r="AI12" s="3">
        <v>0</v>
      </c>
      <c r="AJ12" s="3">
        <v>0</v>
      </c>
      <c r="AK12" s="3">
        <v>0.43589743589743601</v>
      </c>
      <c r="AL12" s="3">
        <v>0</v>
      </c>
      <c r="AM12" s="3">
        <v>0.56410256410256399</v>
      </c>
      <c r="AN12" s="3">
        <v>1.4049426315789501E-2</v>
      </c>
      <c r="AO12" s="3">
        <v>1.60671674418605E-2</v>
      </c>
      <c r="AP12" s="3">
        <v>1.55661643918919E-2</v>
      </c>
      <c r="AQ12" s="3" t="s">
        <v>875</v>
      </c>
      <c r="AR12" s="3" t="s">
        <v>876</v>
      </c>
      <c r="AS12" s="3" t="s">
        <v>877</v>
      </c>
      <c r="AT12" s="3" t="s">
        <v>636</v>
      </c>
      <c r="AU12" s="4">
        <v>0.97</v>
      </c>
      <c r="AV12" s="5">
        <v>0.95899999999999996</v>
      </c>
      <c r="AW12" s="8" t="s">
        <v>878</v>
      </c>
      <c r="AX12" s="6" t="s">
        <v>933</v>
      </c>
    </row>
    <row r="13" spans="1:53" hidden="1" x14ac:dyDescent="0.2">
      <c r="A13" s="3" t="s">
        <v>292</v>
      </c>
      <c r="B13" s="3" t="s">
        <v>90</v>
      </c>
      <c r="C13" s="3">
        <v>535136401</v>
      </c>
      <c r="D13" s="3" t="s">
        <v>52</v>
      </c>
      <c r="E13" s="3" t="s">
        <v>46</v>
      </c>
      <c r="F13" s="3" t="s">
        <v>53</v>
      </c>
      <c r="G13" s="3" t="s">
        <v>53</v>
      </c>
      <c r="H13" s="3" t="s">
        <v>86</v>
      </c>
      <c r="I13" s="3" t="s">
        <v>259</v>
      </c>
      <c r="J13" s="20" t="s">
        <v>293</v>
      </c>
      <c r="K13" s="3">
        <v>3.3333333333333002E-3</v>
      </c>
      <c r="L13" s="3">
        <v>300</v>
      </c>
      <c r="M13" s="3">
        <v>-4.0109163319922096</v>
      </c>
      <c r="N13" s="20" t="s">
        <v>294</v>
      </c>
      <c r="O13" s="3">
        <v>11.038289367185</v>
      </c>
      <c r="P13" s="3">
        <v>383</v>
      </c>
      <c r="Q13" s="3">
        <v>40</v>
      </c>
      <c r="R13" s="3">
        <v>6</v>
      </c>
      <c r="S13" s="3">
        <v>0</v>
      </c>
      <c r="T13" s="3">
        <v>0</v>
      </c>
      <c r="U13" s="3">
        <v>0</v>
      </c>
      <c r="V13" s="3">
        <v>0</v>
      </c>
      <c r="W13" s="3">
        <v>0</v>
      </c>
      <c r="X13" s="3">
        <v>0</v>
      </c>
      <c r="Y13" s="3">
        <v>0</v>
      </c>
      <c r="Z13" s="3">
        <v>0</v>
      </c>
      <c r="AA13" s="3">
        <v>0</v>
      </c>
      <c r="AB13" s="3">
        <v>0</v>
      </c>
      <c r="AC13" s="3">
        <v>0</v>
      </c>
      <c r="AD13" s="3">
        <v>1.3986013986014E-2</v>
      </c>
      <c r="AE13" s="3">
        <v>9.3240093240093205E-2</v>
      </c>
      <c r="AF13" s="3">
        <v>0.89277389277389296</v>
      </c>
      <c r="AG13" s="3">
        <v>0</v>
      </c>
      <c r="AH13" s="3">
        <v>0</v>
      </c>
      <c r="AI13" s="3">
        <v>0</v>
      </c>
      <c r="AJ13" s="3">
        <v>6.0606060606060601E-2</v>
      </c>
      <c r="AK13" s="3">
        <v>0</v>
      </c>
      <c r="AL13" s="3">
        <v>0.939393939393939</v>
      </c>
      <c r="AM13" s="3">
        <v>0</v>
      </c>
      <c r="AN13" s="3">
        <v>0.22500000000000001</v>
      </c>
      <c r="AO13" s="3">
        <v>9.1999999999999998E-2</v>
      </c>
      <c r="AP13" s="3">
        <v>0.26937269372693701</v>
      </c>
      <c r="AQ13" s="3" t="s">
        <v>914</v>
      </c>
      <c r="AR13" s="3"/>
      <c r="AS13" s="3" t="s">
        <v>635</v>
      </c>
      <c r="AT13" s="3" t="s">
        <v>636</v>
      </c>
      <c r="AU13" s="4">
        <v>1</v>
      </c>
      <c r="AV13" s="5">
        <v>0.97509999999999997</v>
      </c>
      <c r="AW13" s="6"/>
      <c r="AX13" s="6"/>
    </row>
    <row r="14" spans="1:53" hidden="1" x14ac:dyDescent="0.2">
      <c r="A14" s="3" t="s">
        <v>451</v>
      </c>
      <c r="B14" s="3" t="s">
        <v>108</v>
      </c>
      <c r="C14" s="3">
        <v>26394652</v>
      </c>
      <c r="D14" s="3" t="s">
        <v>260</v>
      </c>
      <c r="E14" s="3" t="s">
        <v>53</v>
      </c>
      <c r="F14" s="3" t="s">
        <v>59</v>
      </c>
      <c r="G14" s="3" t="s">
        <v>59</v>
      </c>
      <c r="H14" s="3" t="s">
        <v>86</v>
      </c>
      <c r="I14" s="3" t="s">
        <v>432</v>
      </c>
      <c r="J14" s="20" t="s">
        <v>452</v>
      </c>
      <c r="K14" s="3">
        <v>1.5673981191222099E-3</v>
      </c>
      <c r="L14" s="3">
        <v>319</v>
      </c>
      <c r="M14" s="3">
        <v>-11.0260498052528</v>
      </c>
      <c r="N14" s="3">
        <v>9.8135565743742693E-4</v>
      </c>
      <c r="O14" s="3">
        <v>8.4199251333439094</v>
      </c>
      <c r="P14" s="3">
        <v>0</v>
      </c>
      <c r="Q14" s="3">
        <v>0</v>
      </c>
      <c r="R14" s="3">
        <v>247</v>
      </c>
      <c r="S14" s="3">
        <v>0</v>
      </c>
      <c r="T14" s="3">
        <v>0</v>
      </c>
      <c r="U14" s="3">
        <v>2</v>
      </c>
      <c r="V14" s="3">
        <v>0</v>
      </c>
      <c r="W14" s="3">
        <v>0</v>
      </c>
      <c r="X14" s="3">
        <v>108</v>
      </c>
      <c r="Y14" s="3">
        <v>0</v>
      </c>
      <c r="Z14" s="3">
        <v>0</v>
      </c>
      <c r="AA14" s="3">
        <v>0</v>
      </c>
      <c r="AB14" s="3">
        <v>5.60224089635854E-3</v>
      </c>
      <c r="AC14" s="3">
        <v>0.30252100840336099</v>
      </c>
      <c r="AD14" s="3">
        <v>0.69187675070027999</v>
      </c>
      <c r="AE14" s="3">
        <v>0</v>
      </c>
      <c r="AF14" s="3">
        <v>0</v>
      </c>
      <c r="AG14" s="3">
        <v>0</v>
      </c>
      <c r="AH14" s="3">
        <v>0</v>
      </c>
      <c r="AI14" s="3">
        <v>0</v>
      </c>
      <c r="AJ14" s="3">
        <v>0.84313725490196101</v>
      </c>
      <c r="AK14" s="3">
        <v>0.15686274509803899</v>
      </c>
      <c r="AL14" s="3">
        <v>0</v>
      </c>
      <c r="AM14" s="3">
        <v>0</v>
      </c>
      <c r="AN14" s="3">
        <v>2.1</v>
      </c>
      <c r="AO14" s="3">
        <v>2.5715789473684199</v>
      </c>
      <c r="AP14" s="3">
        <v>3.2183856502242199</v>
      </c>
      <c r="AQ14" s="3"/>
      <c r="AR14" s="3"/>
      <c r="AS14" s="3"/>
      <c r="AT14" s="3"/>
      <c r="AU14" s="3"/>
      <c r="AV14" s="3"/>
      <c r="AW14" s="6"/>
      <c r="AX14" s="6"/>
    </row>
    <row r="15" spans="1:53" hidden="1" x14ac:dyDescent="0.2">
      <c r="A15" s="3" t="s">
        <v>51</v>
      </c>
      <c r="B15" s="3" t="s">
        <v>43</v>
      </c>
      <c r="C15" s="3">
        <v>400972679</v>
      </c>
      <c r="D15" s="3" t="s">
        <v>52</v>
      </c>
      <c r="E15" s="3" t="s">
        <v>53</v>
      </c>
      <c r="F15" s="3" t="s">
        <v>46</v>
      </c>
      <c r="G15" s="3" t="s">
        <v>53</v>
      </c>
      <c r="H15" s="3" t="s">
        <v>47</v>
      </c>
      <c r="I15" s="3" t="s">
        <v>48</v>
      </c>
      <c r="J15" s="20" t="s">
        <v>54</v>
      </c>
      <c r="K15" s="3">
        <v>1.1933174224343401E-3</v>
      </c>
      <c r="L15" s="3">
        <v>419</v>
      </c>
      <c r="M15" s="3">
        <v>-0.32036037649004401</v>
      </c>
      <c r="N15" s="3">
        <v>2.7957931618573402E-4</v>
      </c>
      <c r="O15" s="3">
        <v>8.0305246435056397</v>
      </c>
      <c r="P15" s="3">
        <v>428</v>
      </c>
      <c r="Q15" s="3">
        <v>1</v>
      </c>
      <c r="R15" s="3">
        <v>0</v>
      </c>
      <c r="S15" s="3">
        <v>0</v>
      </c>
      <c r="T15" s="3">
        <v>0</v>
      </c>
      <c r="U15" s="3">
        <v>0</v>
      </c>
      <c r="V15" s="3">
        <v>0</v>
      </c>
      <c r="W15" s="3">
        <v>0</v>
      </c>
      <c r="X15" s="3">
        <v>0</v>
      </c>
      <c r="Y15" s="3">
        <v>0</v>
      </c>
      <c r="Z15" s="3">
        <v>0</v>
      </c>
      <c r="AA15" s="3">
        <v>0</v>
      </c>
      <c r="AB15" s="3">
        <v>0</v>
      </c>
      <c r="AC15" s="3">
        <v>0</v>
      </c>
      <c r="AD15" s="3">
        <v>0</v>
      </c>
      <c r="AE15" s="3">
        <v>2.3310023310023301E-3</v>
      </c>
      <c r="AF15" s="3">
        <v>0.99766899766899797</v>
      </c>
      <c r="AG15" s="3">
        <v>0</v>
      </c>
      <c r="AH15" s="3">
        <v>0</v>
      </c>
      <c r="AI15" s="3">
        <v>0</v>
      </c>
      <c r="AJ15" s="3">
        <v>1.1655011655011701E-3</v>
      </c>
      <c r="AK15" s="3">
        <v>0</v>
      </c>
      <c r="AL15" s="3">
        <v>0.99883449883449904</v>
      </c>
      <c r="AM15" s="3">
        <v>0</v>
      </c>
      <c r="AN15" s="3" t="s">
        <v>55</v>
      </c>
      <c r="AO15" s="3">
        <v>1.0914927800000001</v>
      </c>
      <c r="AP15" s="3">
        <v>0.69591902136363604</v>
      </c>
      <c r="AQ15" s="3"/>
      <c r="AR15" s="3"/>
      <c r="AS15" s="3"/>
      <c r="AT15" s="3"/>
      <c r="AU15" s="3"/>
      <c r="AV15" s="3"/>
      <c r="AW15" s="6"/>
      <c r="AX15" s="6"/>
    </row>
    <row r="16" spans="1:53" hidden="1" x14ac:dyDescent="0.2">
      <c r="A16" s="3" t="s">
        <v>334</v>
      </c>
      <c r="B16" s="3" t="s">
        <v>120</v>
      </c>
      <c r="C16" s="3">
        <v>317782015</v>
      </c>
      <c r="D16" s="3" t="s">
        <v>52</v>
      </c>
      <c r="E16" s="3" t="s">
        <v>46</v>
      </c>
      <c r="F16" s="3" t="s">
        <v>53</v>
      </c>
      <c r="G16" s="3" t="s">
        <v>53</v>
      </c>
      <c r="H16" s="3" t="s">
        <v>117</v>
      </c>
      <c r="I16" s="3" t="s">
        <v>259</v>
      </c>
      <c r="J16" s="20" t="s">
        <v>335</v>
      </c>
      <c r="K16" s="3">
        <v>0.29189189189189202</v>
      </c>
      <c r="L16" s="3">
        <v>370</v>
      </c>
      <c r="M16" s="3">
        <v>0.103203959127093</v>
      </c>
      <c r="N16" s="3">
        <v>2.3065697518262401E-2</v>
      </c>
      <c r="O16" s="3">
        <v>7.5428054927603299</v>
      </c>
      <c r="P16" s="3">
        <v>138</v>
      </c>
      <c r="Q16" s="3">
        <v>270</v>
      </c>
      <c r="R16" s="3">
        <v>21</v>
      </c>
      <c r="S16" s="3">
        <v>0</v>
      </c>
      <c r="T16" s="3">
        <v>0</v>
      </c>
      <c r="U16" s="3">
        <v>0</v>
      </c>
      <c r="V16" s="3">
        <v>0</v>
      </c>
      <c r="W16" s="3">
        <v>0</v>
      </c>
      <c r="X16" s="3">
        <v>0</v>
      </c>
      <c r="Y16" s="3">
        <v>0</v>
      </c>
      <c r="Z16" s="3">
        <v>0</v>
      </c>
      <c r="AA16" s="3">
        <v>0</v>
      </c>
      <c r="AB16" s="3">
        <v>0</v>
      </c>
      <c r="AC16" s="3">
        <v>0</v>
      </c>
      <c r="AD16" s="3">
        <v>4.8951048951049E-2</v>
      </c>
      <c r="AE16" s="3">
        <v>0.62937062937062904</v>
      </c>
      <c r="AF16" s="3">
        <v>0.321678321678322</v>
      </c>
      <c r="AG16" s="3">
        <v>0</v>
      </c>
      <c r="AH16" s="3">
        <v>0</v>
      </c>
      <c r="AI16" s="3">
        <v>0</v>
      </c>
      <c r="AJ16" s="3">
        <v>0.36363636363636398</v>
      </c>
      <c r="AK16" s="3">
        <v>0</v>
      </c>
      <c r="AL16" s="3">
        <v>0.63636363636363602</v>
      </c>
      <c r="AM16" s="3">
        <v>0</v>
      </c>
      <c r="AN16" s="3">
        <v>0.62105263157894697</v>
      </c>
      <c r="AO16" s="3">
        <v>0.66638297872340402</v>
      </c>
      <c r="AP16" s="3">
        <v>0.67068965517241397</v>
      </c>
      <c r="AQ16" s="3"/>
      <c r="AR16" s="3"/>
      <c r="AS16" s="3"/>
      <c r="AT16" s="3"/>
      <c r="AU16" s="3"/>
      <c r="AV16" s="3"/>
      <c r="AW16" s="6"/>
      <c r="AX16" s="6"/>
    </row>
    <row r="17" spans="1:50" ht="70" hidden="1" x14ac:dyDescent="0.2">
      <c r="A17" s="3" t="s">
        <v>304</v>
      </c>
      <c r="B17" s="3" t="s">
        <v>160</v>
      </c>
      <c r="C17" s="3">
        <v>289224236</v>
      </c>
      <c r="D17" s="3" t="s">
        <v>156</v>
      </c>
      <c r="E17" s="3" t="s">
        <v>59</v>
      </c>
      <c r="F17" s="3" t="s">
        <v>53</v>
      </c>
      <c r="G17" s="3" t="s">
        <v>53</v>
      </c>
      <c r="H17" s="3" t="s">
        <v>86</v>
      </c>
      <c r="I17" s="3" t="s">
        <v>259</v>
      </c>
      <c r="J17" s="20" t="s">
        <v>305</v>
      </c>
      <c r="K17" s="3">
        <v>7.6666666666666702E-2</v>
      </c>
      <c r="L17" s="3">
        <v>300</v>
      </c>
      <c r="M17" s="3">
        <v>-0.22184509971393301</v>
      </c>
      <c r="N17" s="3">
        <v>3.0158809675939098E-3</v>
      </c>
      <c r="O17" s="3">
        <v>6.9786049396538896</v>
      </c>
      <c r="P17" s="3">
        <v>0</v>
      </c>
      <c r="Q17" s="3">
        <v>0</v>
      </c>
      <c r="R17" s="3">
        <v>50</v>
      </c>
      <c r="S17" s="3">
        <v>0</v>
      </c>
      <c r="T17" s="3">
        <v>0</v>
      </c>
      <c r="U17" s="3">
        <v>214</v>
      </c>
      <c r="V17" s="3">
        <v>0</v>
      </c>
      <c r="W17" s="3">
        <v>0</v>
      </c>
      <c r="X17" s="3">
        <v>165</v>
      </c>
      <c r="Y17" s="3">
        <v>0</v>
      </c>
      <c r="Z17" s="3">
        <v>0</v>
      </c>
      <c r="AA17" s="3">
        <v>0</v>
      </c>
      <c r="AB17" s="3">
        <v>0.49883449883449898</v>
      </c>
      <c r="AC17" s="3">
        <v>0.38461538461538503</v>
      </c>
      <c r="AD17" s="3">
        <v>0.116550116550117</v>
      </c>
      <c r="AE17" s="3">
        <v>0</v>
      </c>
      <c r="AF17" s="3">
        <v>0</v>
      </c>
      <c r="AG17" s="3">
        <v>0</v>
      </c>
      <c r="AH17" s="3">
        <v>0</v>
      </c>
      <c r="AI17" s="3">
        <v>0</v>
      </c>
      <c r="AJ17" s="3">
        <v>0.308857808857809</v>
      </c>
      <c r="AK17" s="3">
        <v>0.691142191142191</v>
      </c>
      <c r="AL17" s="3">
        <v>0</v>
      </c>
      <c r="AM17" s="3">
        <v>0</v>
      </c>
      <c r="AN17" s="3">
        <v>0.60789473684210504</v>
      </c>
      <c r="AO17" s="3">
        <v>0.205172413793103</v>
      </c>
      <c r="AP17" s="3">
        <v>0.20068493150684899</v>
      </c>
      <c r="AQ17" s="3" t="s">
        <v>666</v>
      </c>
      <c r="AR17" s="3" t="s">
        <v>667</v>
      </c>
      <c r="AS17" s="3" t="s">
        <v>913</v>
      </c>
      <c r="AT17" s="3"/>
      <c r="AU17" s="3"/>
      <c r="AV17" s="3"/>
      <c r="AW17" s="10" t="s">
        <v>668</v>
      </c>
      <c r="AX17" s="6" t="s">
        <v>669</v>
      </c>
    </row>
    <row r="18" spans="1:50" hidden="1" x14ac:dyDescent="0.2">
      <c r="A18" s="3" t="s">
        <v>440</v>
      </c>
      <c r="B18" s="3" t="s">
        <v>152</v>
      </c>
      <c r="C18" s="3">
        <v>421470788</v>
      </c>
      <c r="D18" s="3" t="s">
        <v>127</v>
      </c>
      <c r="E18" s="3" t="s">
        <v>45</v>
      </c>
      <c r="F18" s="3" t="s">
        <v>53</v>
      </c>
      <c r="G18" s="3" t="s">
        <v>53</v>
      </c>
      <c r="H18" s="3" t="s">
        <v>86</v>
      </c>
      <c r="I18" s="3" t="s">
        <v>432</v>
      </c>
      <c r="J18" s="20" t="s">
        <v>441</v>
      </c>
      <c r="K18" s="3">
        <v>2.1943573667711599E-2</v>
      </c>
      <c r="L18" s="3">
        <v>319</v>
      </c>
      <c r="M18" s="3">
        <v>-2.89082675760221</v>
      </c>
      <c r="N18" s="3">
        <v>3.2819025197096901E-4</v>
      </c>
      <c r="O18" s="3">
        <v>6.7459249317482497</v>
      </c>
      <c r="P18" s="3">
        <v>0</v>
      </c>
      <c r="Q18" s="3">
        <v>0</v>
      </c>
      <c r="R18" s="3">
        <v>3</v>
      </c>
      <c r="S18" s="3">
        <v>0</v>
      </c>
      <c r="T18" s="3">
        <v>302</v>
      </c>
      <c r="U18" s="3">
        <v>0</v>
      </c>
      <c r="V18" s="3">
        <v>0</v>
      </c>
      <c r="W18" s="3">
        <v>0</v>
      </c>
      <c r="X18" s="3">
        <v>0</v>
      </c>
      <c r="Y18" s="3">
        <v>52</v>
      </c>
      <c r="Z18" s="3">
        <v>0</v>
      </c>
      <c r="AA18" s="3">
        <v>0.84593837535014005</v>
      </c>
      <c r="AB18" s="3">
        <v>0</v>
      </c>
      <c r="AC18" s="3">
        <v>0</v>
      </c>
      <c r="AD18" s="3">
        <v>8.4033613445378096E-3</v>
      </c>
      <c r="AE18" s="3">
        <v>0</v>
      </c>
      <c r="AF18" s="3">
        <v>0</v>
      </c>
      <c r="AG18" s="3">
        <v>0</v>
      </c>
      <c r="AH18" s="3">
        <v>0.145658263305322</v>
      </c>
      <c r="AI18" s="3">
        <v>0</v>
      </c>
      <c r="AJ18" s="3">
        <v>8.1232492997198896E-2</v>
      </c>
      <c r="AK18" s="3">
        <v>0</v>
      </c>
      <c r="AL18" s="3">
        <v>0</v>
      </c>
      <c r="AM18" s="3">
        <v>0.91876750700280096</v>
      </c>
      <c r="AN18" s="3">
        <v>1.7666666666666699</v>
      </c>
      <c r="AO18" s="3">
        <v>2.9914893617021301</v>
      </c>
      <c r="AP18" s="3">
        <v>3.0416356877323398</v>
      </c>
      <c r="AQ18" s="3"/>
      <c r="AR18" s="3"/>
      <c r="AS18" s="3"/>
      <c r="AT18" s="3"/>
      <c r="AU18" s="3"/>
      <c r="AV18" s="3"/>
      <c r="AW18" s="6"/>
      <c r="AX18" s="6"/>
    </row>
    <row r="19" spans="1:50" hidden="1" x14ac:dyDescent="0.2">
      <c r="A19" s="3" t="s">
        <v>415</v>
      </c>
      <c r="B19" s="3" t="s">
        <v>152</v>
      </c>
      <c r="C19" s="3">
        <v>668224534</v>
      </c>
      <c r="D19" s="3" t="s">
        <v>52</v>
      </c>
      <c r="E19" s="3" t="s">
        <v>46</v>
      </c>
      <c r="F19" s="3" t="s">
        <v>53</v>
      </c>
      <c r="G19" s="3" t="s">
        <v>53</v>
      </c>
      <c r="H19" s="3" t="s">
        <v>337</v>
      </c>
      <c r="I19" s="3" t="s">
        <v>369</v>
      </c>
      <c r="J19" s="20" t="s">
        <v>416</v>
      </c>
      <c r="K19" s="3">
        <v>1.2944983818770199E-2</v>
      </c>
      <c r="L19" s="3">
        <v>309</v>
      </c>
      <c r="M19" s="3">
        <v>29.7673791182557</v>
      </c>
      <c r="N19" s="3">
        <v>1.2036504489692399E-2</v>
      </c>
      <c r="O19" s="3">
        <v>5.5225793820071196</v>
      </c>
      <c r="P19" s="3">
        <v>336</v>
      </c>
      <c r="Q19" s="3">
        <v>24</v>
      </c>
      <c r="R19" s="3">
        <v>4</v>
      </c>
      <c r="S19" s="3">
        <v>0</v>
      </c>
      <c r="T19" s="3">
        <v>0</v>
      </c>
      <c r="U19" s="3">
        <v>0</v>
      </c>
      <c r="V19" s="3">
        <v>0</v>
      </c>
      <c r="W19" s="3">
        <v>0</v>
      </c>
      <c r="X19" s="3">
        <v>0</v>
      </c>
      <c r="Y19" s="3">
        <v>0</v>
      </c>
      <c r="Z19" s="3">
        <v>0</v>
      </c>
      <c r="AA19" s="3">
        <v>0</v>
      </c>
      <c r="AB19" s="3">
        <v>0</v>
      </c>
      <c r="AC19" s="3">
        <v>0</v>
      </c>
      <c r="AD19" s="3">
        <v>1.0989010989011E-2</v>
      </c>
      <c r="AE19" s="3">
        <v>6.5934065934065894E-2</v>
      </c>
      <c r="AF19" s="3">
        <v>0.92307692307692302</v>
      </c>
      <c r="AG19" s="3">
        <v>0</v>
      </c>
      <c r="AH19" s="3">
        <v>0</v>
      </c>
      <c r="AI19" s="3">
        <v>0</v>
      </c>
      <c r="AJ19" s="3">
        <v>4.3956043956044001E-2</v>
      </c>
      <c r="AK19" s="3">
        <v>0</v>
      </c>
      <c r="AL19" s="3">
        <v>0.95604395604395598</v>
      </c>
      <c r="AM19" s="3">
        <v>0</v>
      </c>
      <c r="AN19" s="3">
        <v>63.194444445000002</v>
      </c>
      <c r="AO19" s="3">
        <v>82.181109825999997</v>
      </c>
      <c r="AP19" s="3">
        <v>78.715492737749997</v>
      </c>
      <c r="AQ19" s="3"/>
      <c r="AR19" s="3"/>
      <c r="AS19" s="3"/>
      <c r="AT19" s="3"/>
      <c r="AU19" s="3"/>
      <c r="AV19" s="3"/>
      <c r="AW19" s="6"/>
      <c r="AX19" s="6"/>
    </row>
    <row r="20" spans="1:50" hidden="1" x14ac:dyDescent="0.2">
      <c r="A20" s="3" t="s">
        <v>155</v>
      </c>
      <c r="B20" s="3" t="s">
        <v>152</v>
      </c>
      <c r="C20" s="3">
        <v>441485323</v>
      </c>
      <c r="D20" s="3" t="s">
        <v>156</v>
      </c>
      <c r="E20" s="3" t="s">
        <v>59</v>
      </c>
      <c r="F20" s="3" t="s">
        <v>53</v>
      </c>
      <c r="G20" s="3" t="s">
        <v>53</v>
      </c>
      <c r="H20" s="3" t="s">
        <v>153</v>
      </c>
      <c r="I20" s="3" t="s">
        <v>48</v>
      </c>
      <c r="J20" s="20" t="s">
        <v>157</v>
      </c>
      <c r="K20" s="3">
        <v>2.40963855421683E-3</v>
      </c>
      <c r="L20" s="3">
        <v>415</v>
      </c>
      <c r="M20" s="3">
        <v>-5.8885644339680403E-2</v>
      </c>
      <c r="N20" s="20" t="s">
        <v>158</v>
      </c>
      <c r="O20" s="3">
        <v>5.1904660086913896</v>
      </c>
      <c r="P20" s="3">
        <v>0</v>
      </c>
      <c r="Q20" s="3">
        <v>0</v>
      </c>
      <c r="R20" s="3">
        <v>0</v>
      </c>
      <c r="S20" s="3">
        <v>0</v>
      </c>
      <c r="T20" s="3">
        <v>0</v>
      </c>
      <c r="U20" s="3">
        <v>414</v>
      </c>
      <c r="V20" s="3">
        <v>0</v>
      </c>
      <c r="W20" s="3">
        <v>0</v>
      </c>
      <c r="X20" s="3">
        <v>15</v>
      </c>
      <c r="Y20" s="3">
        <v>0</v>
      </c>
      <c r="Z20" s="3">
        <v>0</v>
      </c>
      <c r="AA20" s="3">
        <v>0</v>
      </c>
      <c r="AB20" s="3">
        <v>0.965034965034965</v>
      </c>
      <c r="AC20" s="3">
        <v>3.4965034965035002E-2</v>
      </c>
      <c r="AD20" s="3">
        <v>0</v>
      </c>
      <c r="AE20" s="3">
        <v>0</v>
      </c>
      <c r="AF20" s="3">
        <v>0</v>
      </c>
      <c r="AG20" s="3">
        <v>0</v>
      </c>
      <c r="AH20" s="3">
        <v>0</v>
      </c>
      <c r="AI20" s="3">
        <v>0</v>
      </c>
      <c r="AJ20" s="3">
        <v>1.7482517482517501E-2</v>
      </c>
      <c r="AK20" s="3">
        <v>0.98251748251748205</v>
      </c>
      <c r="AL20" s="3">
        <v>0</v>
      </c>
      <c r="AM20" s="3">
        <v>0</v>
      </c>
      <c r="AN20" s="3" t="s">
        <v>55</v>
      </c>
      <c r="AO20" s="3">
        <v>1.01358933333333E-2</v>
      </c>
      <c r="AP20" s="3">
        <v>1.5625005575E-2</v>
      </c>
      <c r="AQ20" s="3"/>
      <c r="AR20" s="3"/>
      <c r="AS20" s="3"/>
      <c r="AT20" s="3"/>
      <c r="AU20" s="3"/>
      <c r="AV20" s="3"/>
      <c r="AW20" s="6"/>
      <c r="AX20" s="6"/>
    </row>
    <row r="21" spans="1:50" hidden="1" x14ac:dyDescent="0.2">
      <c r="A21" s="3" t="s">
        <v>328</v>
      </c>
      <c r="B21" s="3" t="s">
        <v>81</v>
      </c>
      <c r="C21" s="3">
        <v>397784395</v>
      </c>
      <c r="D21" s="3" t="s">
        <v>58</v>
      </c>
      <c r="E21" s="3" t="s">
        <v>46</v>
      </c>
      <c r="F21" s="3" t="s">
        <v>59</v>
      </c>
      <c r="G21" s="3" t="s">
        <v>59</v>
      </c>
      <c r="H21" s="3" t="s">
        <v>234</v>
      </c>
      <c r="I21" s="3" t="s">
        <v>259</v>
      </c>
      <c r="J21" s="20" t="s">
        <v>329</v>
      </c>
      <c r="K21" s="3">
        <v>6.7385444743935305E-2</v>
      </c>
      <c r="L21" s="3">
        <v>371</v>
      </c>
      <c r="M21" s="3">
        <v>-3.06359859668853</v>
      </c>
      <c r="N21" s="20" t="s">
        <v>330</v>
      </c>
      <c r="O21" s="3">
        <v>4.8019639933798102</v>
      </c>
      <c r="P21" s="3">
        <v>321</v>
      </c>
      <c r="Q21" s="3">
        <v>0</v>
      </c>
      <c r="R21" s="3">
        <v>0</v>
      </c>
      <c r="S21" s="3">
        <v>0</v>
      </c>
      <c r="T21" s="3">
        <v>0</v>
      </c>
      <c r="U21" s="3">
        <v>6</v>
      </c>
      <c r="V21" s="3">
        <v>102</v>
      </c>
      <c r="W21" s="3">
        <v>0</v>
      </c>
      <c r="X21" s="3">
        <v>0</v>
      </c>
      <c r="Y21" s="3">
        <v>0</v>
      </c>
      <c r="Z21" s="3">
        <v>0</v>
      </c>
      <c r="AA21" s="3">
        <v>0</v>
      </c>
      <c r="AB21" s="3">
        <v>1.3986013986014E-2</v>
      </c>
      <c r="AC21" s="3">
        <v>0</v>
      </c>
      <c r="AD21" s="3">
        <v>0</v>
      </c>
      <c r="AE21" s="3">
        <v>0</v>
      </c>
      <c r="AF21" s="3">
        <v>0.74825174825174801</v>
      </c>
      <c r="AG21" s="3">
        <v>0</v>
      </c>
      <c r="AH21" s="3">
        <v>0</v>
      </c>
      <c r="AI21" s="3">
        <v>0.23776223776223801</v>
      </c>
      <c r="AJ21" s="3">
        <v>0</v>
      </c>
      <c r="AK21" s="3">
        <v>0.132867132867133</v>
      </c>
      <c r="AL21" s="3">
        <v>0.86713286713286697</v>
      </c>
      <c r="AM21" s="3">
        <v>0</v>
      </c>
      <c r="AN21" s="3">
        <v>0.66666666666666696</v>
      </c>
      <c r="AO21" s="3">
        <v>3.36263736263736</v>
      </c>
      <c r="AP21" s="3">
        <v>3.7364620938628201</v>
      </c>
      <c r="AQ21" s="3" t="s">
        <v>806</v>
      </c>
      <c r="AR21" s="3" t="s">
        <v>635</v>
      </c>
      <c r="AS21" s="3" t="s">
        <v>913</v>
      </c>
      <c r="AT21" s="3"/>
      <c r="AU21" s="3"/>
      <c r="AV21" s="3"/>
      <c r="AW21" s="6"/>
      <c r="AX21" s="6"/>
    </row>
    <row r="22" spans="1:50" hidden="1" x14ac:dyDescent="0.2">
      <c r="A22" s="3" t="s">
        <v>352</v>
      </c>
      <c r="B22" s="3" t="s">
        <v>138</v>
      </c>
      <c r="C22" s="3">
        <v>470381305</v>
      </c>
      <c r="D22" s="3" t="s">
        <v>156</v>
      </c>
      <c r="E22" s="3" t="s">
        <v>53</v>
      </c>
      <c r="F22" s="3" t="s">
        <v>59</v>
      </c>
      <c r="G22" s="3" t="s">
        <v>53</v>
      </c>
      <c r="H22" s="3" t="s">
        <v>86</v>
      </c>
      <c r="I22" s="3" t="s">
        <v>338</v>
      </c>
      <c r="J22" s="20" t="s">
        <v>353</v>
      </c>
      <c r="K22" s="3">
        <v>3.0448717948718E-2</v>
      </c>
      <c r="L22" s="3">
        <v>312</v>
      </c>
      <c r="M22" s="3">
        <v>-15.166852751086299</v>
      </c>
      <c r="N22" s="3">
        <v>2.0531353598191001E-3</v>
      </c>
      <c r="O22" s="3">
        <v>4.7633448538665704</v>
      </c>
      <c r="P22" s="3">
        <v>0</v>
      </c>
      <c r="Q22" s="3">
        <v>0</v>
      </c>
      <c r="R22" s="3">
        <v>30</v>
      </c>
      <c r="S22" s="3">
        <v>0</v>
      </c>
      <c r="T22" s="3">
        <v>0</v>
      </c>
      <c r="U22" s="3">
        <v>197</v>
      </c>
      <c r="V22" s="3">
        <v>0</v>
      </c>
      <c r="W22" s="3">
        <v>0</v>
      </c>
      <c r="X22" s="3">
        <v>137</v>
      </c>
      <c r="Y22" s="3">
        <v>0</v>
      </c>
      <c r="Z22" s="3">
        <v>0</v>
      </c>
      <c r="AA22" s="3">
        <v>0</v>
      </c>
      <c r="AB22" s="3">
        <v>0.54120879120879095</v>
      </c>
      <c r="AC22" s="3">
        <v>0.37637362637362598</v>
      </c>
      <c r="AD22" s="3">
        <v>8.2417582417582402E-2</v>
      </c>
      <c r="AE22" s="3">
        <v>0</v>
      </c>
      <c r="AF22" s="3">
        <v>0</v>
      </c>
      <c r="AG22" s="3">
        <v>0</v>
      </c>
      <c r="AH22" s="3">
        <v>0</v>
      </c>
      <c r="AI22" s="3">
        <v>0</v>
      </c>
      <c r="AJ22" s="3">
        <v>0.27060439560439598</v>
      </c>
      <c r="AK22" s="3">
        <v>0.72939560439560402</v>
      </c>
      <c r="AL22" s="3">
        <v>0</v>
      </c>
      <c r="AM22" s="3">
        <v>0</v>
      </c>
      <c r="AN22" s="3">
        <v>27.815999999999999</v>
      </c>
      <c r="AO22" s="3">
        <v>18.128205128205099</v>
      </c>
      <c r="AP22" s="3">
        <v>19.040588235294098</v>
      </c>
      <c r="AQ22" s="3"/>
      <c r="AR22" s="3"/>
      <c r="AS22" s="3"/>
      <c r="AT22" s="3"/>
      <c r="AU22" s="3"/>
      <c r="AV22" s="3"/>
      <c r="AW22" s="6"/>
      <c r="AX22" s="6"/>
    </row>
    <row r="23" spans="1:50" hidden="1" x14ac:dyDescent="0.2">
      <c r="A23" s="3" t="s">
        <v>172</v>
      </c>
      <c r="B23" s="3" t="s">
        <v>152</v>
      </c>
      <c r="C23" s="3">
        <v>60561704</v>
      </c>
      <c r="D23" s="3" t="s">
        <v>71</v>
      </c>
      <c r="E23" s="3" t="s">
        <v>45</v>
      </c>
      <c r="F23" s="3" t="s">
        <v>59</v>
      </c>
      <c r="G23" s="3" t="s">
        <v>59</v>
      </c>
      <c r="H23" s="3" t="s">
        <v>173</v>
      </c>
      <c r="I23" s="3" t="s">
        <v>48</v>
      </c>
      <c r="J23" s="20" t="s">
        <v>174</v>
      </c>
      <c r="K23" s="3">
        <v>0.44312796208530802</v>
      </c>
      <c r="L23" s="3">
        <v>422</v>
      </c>
      <c r="M23" s="3">
        <v>3.6573933147844899</v>
      </c>
      <c r="N23" s="3">
        <v>8.7908883100014205E-3</v>
      </c>
      <c r="O23" s="3">
        <v>4.4988640990145301</v>
      </c>
      <c r="P23" s="3">
        <v>0</v>
      </c>
      <c r="Q23" s="3">
        <v>0</v>
      </c>
      <c r="R23" s="3">
        <v>0</v>
      </c>
      <c r="S23" s="3">
        <v>0</v>
      </c>
      <c r="T23" s="3">
        <v>376</v>
      </c>
      <c r="U23" s="3">
        <v>1</v>
      </c>
      <c r="V23" s="3">
        <v>0</v>
      </c>
      <c r="W23" s="3">
        <v>52</v>
      </c>
      <c r="X23" s="3">
        <v>0</v>
      </c>
      <c r="Y23" s="3">
        <v>0</v>
      </c>
      <c r="Z23" s="3">
        <v>0.12121212121212099</v>
      </c>
      <c r="AA23" s="3">
        <v>0.87645687645687598</v>
      </c>
      <c r="AB23" s="3">
        <v>2.3310023310023301E-3</v>
      </c>
      <c r="AC23" s="3">
        <v>0</v>
      </c>
      <c r="AD23" s="3">
        <v>0</v>
      </c>
      <c r="AE23" s="3">
        <v>0</v>
      </c>
      <c r="AF23" s="3">
        <v>0</v>
      </c>
      <c r="AG23" s="3">
        <v>0</v>
      </c>
      <c r="AH23" s="3">
        <v>0</v>
      </c>
      <c r="AI23" s="3">
        <v>0</v>
      </c>
      <c r="AJ23" s="3">
        <v>0</v>
      </c>
      <c r="AK23" s="3">
        <v>6.2937062937062901E-2</v>
      </c>
      <c r="AL23" s="3">
        <v>0</v>
      </c>
      <c r="AM23" s="3">
        <v>0.93706293706293697</v>
      </c>
      <c r="AN23" s="3">
        <v>95</v>
      </c>
      <c r="AO23" s="3">
        <v>95.392156862745097</v>
      </c>
      <c r="AP23" s="3">
        <v>93.8783783783784</v>
      </c>
      <c r="AQ23" s="3"/>
      <c r="AR23" s="3"/>
      <c r="AS23" s="3"/>
      <c r="AT23" s="3"/>
      <c r="AU23" s="3"/>
      <c r="AV23" s="3"/>
      <c r="AW23" s="6"/>
      <c r="AX23" s="6"/>
    </row>
    <row r="24" spans="1:50" hidden="1" x14ac:dyDescent="0.2">
      <c r="A24" s="3" t="s">
        <v>42</v>
      </c>
      <c r="B24" s="3" t="s">
        <v>43</v>
      </c>
      <c r="C24" s="3">
        <v>10162383</v>
      </c>
      <c r="D24" s="3" t="s">
        <v>44</v>
      </c>
      <c r="E24" s="3" t="s">
        <v>45</v>
      </c>
      <c r="F24" s="3" t="s">
        <v>46</v>
      </c>
      <c r="G24" s="3" t="s">
        <v>46</v>
      </c>
      <c r="H24" s="3" t="s">
        <v>47</v>
      </c>
      <c r="I24" s="3" t="s">
        <v>48</v>
      </c>
      <c r="J24" s="20" t="s">
        <v>49</v>
      </c>
      <c r="K24" s="3">
        <v>0.241050119331742</v>
      </c>
      <c r="L24" s="3">
        <v>419</v>
      </c>
      <c r="M24" s="3">
        <v>-2.6840834711142E-2</v>
      </c>
      <c r="N24" s="20" t="s">
        <v>50</v>
      </c>
      <c r="O24" s="3">
        <v>4.2141399375999304</v>
      </c>
      <c r="P24" s="3">
        <v>50</v>
      </c>
      <c r="Q24" s="3">
        <v>0</v>
      </c>
      <c r="R24" s="3">
        <v>0</v>
      </c>
      <c r="S24" s="3">
        <v>107</v>
      </c>
      <c r="T24" s="3">
        <v>272</v>
      </c>
      <c r="U24" s="3">
        <v>0</v>
      </c>
      <c r="V24" s="3">
        <v>0</v>
      </c>
      <c r="W24" s="3">
        <v>0</v>
      </c>
      <c r="X24" s="3">
        <v>0</v>
      </c>
      <c r="Y24" s="3">
        <v>0</v>
      </c>
      <c r="Z24" s="3">
        <v>0</v>
      </c>
      <c r="AA24" s="3">
        <v>0.63403263403263399</v>
      </c>
      <c r="AB24" s="3">
        <v>0</v>
      </c>
      <c r="AC24" s="3">
        <v>0</v>
      </c>
      <c r="AD24" s="3">
        <v>0</v>
      </c>
      <c r="AE24" s="3">
        <v>0</v>
      </c>
      <c r="AF24" s="3">
        <v>0.116550116550117</v>
      </c>
      <c r="AG24" s="3">
        <v>0.24941724941724899</v>
      </c>
      <c r="AH24" s="3">
        <v>0</v>
      </c>
      <c r="AI24" s="3">
        <v>0</v>
      </c>
      <c r="AJ24" s="3">
        <v>0</v>
      </c>
      <c r="AK24" s="3">
        <v>0</v>
      </c>
      <c r="AL24" s="3">
        <v>0.241258741258741</v>
      </c>
      <c r="AM24" s="3">
        <v>0.75874125874125897</v>
      </c>
      <c r="AN24" s="3">
        <v>0.73340068041666695</v>
      </c>
      <c r="AO24" s="3">
        <v>0.70977396971698103</v>
      </c>
      <c r="AP24" s="3">
        <v>0.68508064249056599</v>
      </c>
      <c r="AQ24" s="3"/>
      <c r="AR24" s="3"/>
      <c r="AS24" s="3"/>
      <c r="AT24" s="3"/>
      <c r="AU24" s="3"/>
      <c r="AV24" s="3"/>
      <c r="AW24" s="6"/>
      <c r="AX24" s="6"/>
    </row>
    <row r="25" spans="1:50" ht="70" hidden="1" x14ac:dyDescent="0.2">
      <c r="A25" s="3" t="s">
        <v>577</v>
      </c>
      <c r="B25" s="3" t="s">
        <v>224</v>
      </c>
      <c r="C25" s="3">
        <v>165935726</v>
      </c>
      <c r="D25" s="3" t="s">
        <v>71</v>
      </c>
      <c r="E25" s="3" t="s">
        <v>45</v>
      </c>
      <c r="F25" s="3" t="s">
        <v>59</v>
      </c>
      <c r="G25" s="3" t="s">
        <v>59</v>
      </c>
      <c r="H25" s="3" t="s">
        <v>382</v>
      </c>
      <c r="I25" s="3" t="s">
        <v>519</v>
      </c>
      <c r="J25" s="20" t="s">
        <v>578</v>
      </c>
      <c r="K25" s="3">
        <v>2.4844720496894498E-2</v>
      </c>
      <c r="L25" s="3">
        <v>322</v>
      </c>
      <c r="M25" s="3">
        <v>0.85163301892099896</v>
      </c>
      <c r="N25" s="20" t="s">
        <v>579</v>
      </c>
      <c r="O25" s="3">
        <v>3.6045576522748601</v>
      </c>
      <c r="P25" s="3">
        <v>0</v>
      </c>
      <c r="Q25" s="3">
        <v>0</v>
      </c>
      <c r="R25" s="3">
        <v>0</v>
      </c>
      <c r="S25" s="3">
        <v>0</v>
      </c>
      <c r="T25" s="3">
        <v>305</v>
      </c>
      <c r="U25" s="3">
        <v>0</v>
      </c>
      <c r="V25" s="3">
        <v>0</v>
      </c>
      <c r="W25" s="3">
        <v>52</v>
      </c>
      <c r="X25" s="3">
        <v>0</v>
      </c>
      <c r="Y25" s="3">
        <v>0</v>
      </c>
      <c r="Z25" s="3">
        <v>0.145658263305322</v>
      </c>
      <c r="AA25" s="3">
        <v>0.85434173669467794</v>
      </c>
      <c r="AB25" s="3">
        <v>0</v>
      </c>
      <c r="AC25" s="3">
        <v>0</v>
      </c>
      <c r="AD25" s="3">
        <v>0</v>
      </c>
      <c r="AE25" s="3">
        <v>0</v>
      </c>
      <c r="AF25" s="3">
        <v>0</v>
      </c>
      <c r="AG25" s="3">
        <v>0</v>
      </c>
      <c r="AH25" s="3">
        <v>0</v>
      </c>
      <c r="AI25" s="3">
        <v>0</v>
      </c>
      <c r="AJ25" s="3">
        <v>0</v>
      </c>
      <c r="AK25" s="3">
        <v>7.2829131652661097E-2</v>
      </c>
      <c r="AL25" s="3">
        <v>0</v>
      </c>
      <c r="AM25" s="3">
        <v>0.92717086834733897</v>
      </c>
      <c r="AN25" s="3" t="s">
        <v>55</v>
      </c>
      <c r="AO25" s="3">
        <v>3.3333333333333298E-2</v>
      </c>
      <c r="AP25" s="3">
        <v>5.03649635036496E-2</v>
      </c>
      <c r="AQ25" s="3" t="s">
        <v>738</v>
      </c>
      <c r="AR25" s="3" t="s">
        <v>739</v>
      </c>
      <c r="AS25" s="3" t="s">
        <v>740</v>
      </c>
      <c r="AT25" s="3" t="s">
        <v>636</v>
      </c>
      <c r="AU25" s="4">
        <v>0.99</v>
      </c>
      <c r="AV25" s="5">
        <v>0.96499999999999997</v>
      </c>
      <c r="AW25" s="8" t="s">
        <v>741</v>
      </c>
      <c r="AX25" s="6" t="s">
        <v>742</v>
      </c>
    </row>
    <row r="26" spans="1:50" hidden="1" x14ac:dyDescent="0.2">
      <c r="A26" s="3" t="s">
        <v>444</v>
      </c>
      <c r="B26" s="3" t="s">
        <v>152</v>
      </c>
      <c r="C26" s="3">
        <v>495046207</v>
      </c>
      <c r="D26" s="3" t="s">
        <v>109</v>
      </c>
      <c r="E26" s="3" t="s">
        <v>59</v>
      </c>
      <c r="F26" s="3" t="s">
        <v>45</v>
      </c>
      <c r="G26" s="3" t="s">
        <v>45</v>
      </c>
      <c r="H26" s="3" t="s">
        <v>86</v>
      </c>
      <c r="I26" s="3" t="s">
        <v>432</v>
      </c>
      <c r="J26" s="20" t="s">
        <v>445</v>
      </c>
      <c r="K26" s="3">
        <v>7.9937304075235097E-2</v>
      </c>
      <c r="L26" s="3">
        <v>319</v>
      </c>
      <c r="M26" s="3">
        <v>-2.0085029684374298</v>
      </c>
      <c r="N26" s="3">
        <v>1.3800269947648899E-4</v>
      </c>
      <c r="O26" s="3">
        <v>3.4629503576163598</v>
      </c>
      <c r="P26" s="3">
        <v>0</v>
      </c>
      <c r="Q26" s="3">
        <v>0</v>
      </c>
      <c r="R26" s="3">
        <v>0</v>
      </c>
      <c r="S26" s="3">
        <v>0</v>
      </c>
      <c r="T26" s="3">
        <v>2</v>
      </c>
      <c r="U26" s="3">
        <v>130</v>
      </c>
      <c r="V26" s="3">
        <v>0</v>
      </c>
      <c r="W26" s="3">
        <v>225</v>
      </c>
      <c r="X26" s="3">
        <v>0</v>
      </c>
      <c r="Y26" s="3">
        <v>0</v>
      </c>
      <c r="Z26" s="3">
        <v>0.630252100840336</v>
      </c>
      <c r="AA26" s="3">
        <v>5.60224089635854E-3</v>
      </c>
      <c r="AB26" s="3">
        <v>0.36414565826330503</v>
      </c>
      <c r="AC26" s="3">
        <v>0</v>
      </c>
      <c r="AD26" s="3">
        <v>0</v>
      </c>
      <c r="AE26" s="3">
        <v>0</v>
      </c>
      <c r="AF26" s="3">
        <v>0</v>
      </c>
      <c r="AG26" s="3">
        <v>0</v>
      </c>
      <c r="AH26" s="3">
        <v>0</v>
      </c>
      <c r="AI26" s="3">
        <v>0</v>
      </c>
      <c r="AJ26" s="3">
        <v>0</v>
      </c>
      <c r="AK26" s="3">
        <v>0.67927170868347297</v>
      </c>
      <c r="AL26" s="3">
        <v>0</v>
      </c>
      <c r="AM26" s="3">
        <v>0.32072829131652703</v>
      </c>
      <c r="AN26" s="3">
        <v>0.85</v>
      </c>
      <c r="AO26" s="3">
        <v>3.13316831683168</v>
      </c>
      <c r="AP26" s="3">
        <v>2.8652173913043502</v>
      </c>
      <c r="AQ26" s="3" t="s">
        <v>687</v>
      </c>
      <c r="AR26" s="3" t="s">
        <v>635</v>
      </c>
      <c r="AS26" s="3" t="s">
        <v>635</v>
      </c>
      <c r="AT26" s="3" t="s">
        <v>636</v>
      </c>
      <c r="AU26" s="4">
        <v>0.97</v>
      </c>
      <c r="AV26" s="5">
        <v>0.6976</v>
      </c>
      <c r="AW26" s="6"/>
      <c r="AX26" s="6"/>
    </row>
    <row r="27" spans="1:50" hidden="1" x14ac:dyDescent="0.2">
      <c r="A27" s="3" t="s">
        <v>555</v>
      </c>
      <c r="B27" s="3" t="s">
        <v>224</v>
      </c>
      <c r="C27" s="3">
        <v>24005972</v>
      </c>
      <c r="D27" s="3" t="s">
        <v>85</v>
      </c>
      <c r="E27" s="3" t="s">
        <v>53</v>
      </c>
      <c r="F27" s="3" t="s">
        <v>45</v>
      </c>
      <c r="G27" s="3" t="s">
        <v>45</v>
      </c>
      <c r="H27" s="3" t="s">
        <v>234</v>
      </c>
      <c r="I27" s="3" t="s">
        <v>519</v>
      </c>
      <c r="J27" s="20" t="s">
        <v>556</v>
      </c>
      <c r="K27" s="3">
        <v>1.5337423312883299E-3</v>
      </c>
      <c r="L27" s="3">
        <v>326</v>
      </c>
      <c r="M27" s="3">
        <v>-59.195465243607899</v>
      </c>
      <c r="N27" s="20" t="s">
        <v>557</v>
      </c>
      <c r="O27" s="3">
        <v>3.3871761603527601</v>
      </c>
      <c r="P27" s="3">
        <v>0</v>
      </c>
      <c r="Q27" s="3">
        <v>0</v>
      </c>
      <c r="R27" s="3">
        <v>333</v>
      </c>
      <c r="S27" s="3">
        <v>0</v>
      </c>
      <c r="T27" s="3">
        <v>1</v>
      </c>
      <c r="U27" s="3">
        <v>0</v>
      </c>
      <c r="V27" s="3">
        <v>0</v>
      </c>
      <c r="W27" s="3">
        <v>0</v>
      </c>
      <c r="X27" s="3">
        <v>0</v>
      </c>
      <c r="Y27" s="3">
        <v>23</v>
      </c>
      <c r="Z27" s="3">
        <v>0</v>
      </c>
      <c r="AA27" s="3">
        <v>2.80112044817927E-3</v>
      </c>
      <c r="AB27" s="3">
        <v>0</v>
      </c>
      <c r="AC27" s="3">
        <v>0</v>
      </c>
      <c r="AD27" s="3">
        <v>0.93277310924369705</v>
      </c>
      <c r="AE27" s="3">
        <v>0</v>
      </c>
      <c r="AF27" s="3">
        <v>0</v>
      </c>
      <c r="AG27" s="3">
        <v>0</v>
      </c>
      <c r="AH27" s="3">
        <v>6.4425770308123201E-2</v>
      </c>
      <c r="AI27" s="3">
        <v>0</v>
      </c>
      <c r="AJ27" s="3">
        <v>0.96498599439775901</v>
      </c>
      <c r="AK27" s="3">
        <v>0</v>
      </c>
      <c r="AL27" s="3">
        <v>0</v>
      </c>
      <c r="AM27" s="3">
        <v>3.5014005602240897E-2</v>
      </c>
      <c r="AN27" s="3">
        <v>0</v>
      </c>
      <c r="AO27" s="3">
        <v>4.3499999999999996</v>
      </c>
      <c r="AP27" s="3">
        <v>5.2360655737704898</v>
      </c>
      <c r="AQ27" s="3"/>
      <c r="AR27" s="3"/>
      <c r="AS27" s="3"/>
      <c r="AT27" s="3"/>
      <c r="AU27" s="3"/>
      <c r="AV27" s="3"/>
      <c r="AW27" s="6"/>
      <c r="AX27" s="6"/>
    </row>
    <row r="28" spans="1:50" hidden="1" x14ac:dyDescent="0.2">
      <c r="A28" s="3" t="s">
        <v>379</v>
      </c>
      <c r="B28" s="3" t="s">
        <v>108</v>
      </c>
      <c r="C28" s="3">
        <v>259924662</v>
      </c>
      <c r="D28" s="3" t="s">
        <v>67</v>
      </c>
      <c r="E28" s="3" t="s">
        <v>53</v>
      </c>
      <c r="F28" s="3" t="s">
        <v>46</v>
      </c>
      <c r="G28" s="3" t="s">
        <v>46</v>
      </c>
      <c r="H28" s="3" t="s">
        <v>86</v>
      </c>
      <c r="I28" s="3" t="s">
        <v>369</v>
      </c>
      <c r="J28" s="20" t="s">
        <v>380</v>
      </c>
      <c r="K28" s="3">
        <v>0.33392857142857102</v>
      </c>
      <c r="L28" s="3">
        <v>280</v>
      </c>
      <c r="M28" s="3">
        <v>2.33806430266173</v>
      </c>
      <c r="N28" s="3">
        <v>8.2196772912690702E-4</v>
      </c>
      <c r="O28" s="3">
        <v>3.1835443671806098</v>
      </c>
      <c r="P28" s="3">
        <v>0</v>
      </c>
      <c r="Q28" s="3">
        <v>2</v>
      </c>
      <c r="R28" s="3">
        <v>362</v>
      </c>
      <c r="S28" s="3">
        <v>0</v>
      </c>
      <c r="T28" s="3">
        <v>0</v>
      </c>
      <c r="U28" s="3">
        <v>0</v>
      </c>
      <c r="V28" s="3">
        <v>0</v>
      </c>
      <c r="W28" s="3">
        <v>0</v>
      </c>
      <c r="X28" s="3">
        <v>0</v>
      </c>
      <c r="Y28" s="3">
        <v>0</v>
      </c>
      <c r="Z28" s="3">
        <v>0</v>
      </c>
      <c r="AA28" s="3">
        <v>0</v>
      </c>
      <c r="AB28" s="3">
        <v>0</v>
      </c>
      <c r="AC28" s="3">
        <v>0</v>
      </c>
      <c r="AD28" s="3">
        <v>0.99450549450549497</v>
      </c>
      <c r="AE28" s="3">
        <v>5.4945054945055001E-3</v>
      </c>
      <c r="AF28" s="3">
        <v>0</v>
      </c>
      <c r="AG28" s="3">
        <v>0</v>
      </c>
      <c r="AH28" s="3">
        <v>0</v>
      </c>
      <c r="AI28" s="3">
        <v>0</v>
      </c>
      <c r="AJ28" s="3">
        <v>0.99725274725274704</v>
      </c>
      <c r="AK28" s="3">
        <v>0</v>
      </c>
      <c r="AL28" s="3">
        <v>2.7472527472527501E-3</v>
      </c>
      <c r="AM28" s="3">
        <v>0</v>
      </c>
      <c r="AN28" s="3" t="s">
        <v>55</v>
      </c>
      <c r="AO28" s="3">
        <v>17.850000000000001</v>
      </c>
      <c r="AP28" s="3">
        <v>8.0050359712230197</v>
      </c>
      <c r="AQ28" s="3"/>
      <c r="AR28" s="3"/>
      <c r="AS28" s="3"/>
      <c r="AT28" s="3"/>
      <c r="AU28" s="3"/>
      <c r="AV28" s="3"/>
      <c r="AW28" s="6"/>
      <c r="AX28" s="6"/>
    </row>
    <row r="29" spans="1:50" ht="126" hidden="1" x14ac:dyDescent="0.2">
      <c r="A29" s="3" t="s">
        <v>76</v>
      </c>
      <c r="B29" s="3" t="s">
        <v>77</v>
      </c>
      <c r="C29" s="3">
        <v>172479310</v>
      </c>
      <c r="D29" s="3" t="s">
        <v>52</v>
      </c>
      <c r="E29" s="3" t="s">
        <v>46</v>
      </c>
      <c r="F29" s="3" t="s">
        <v>53</v>
      </c>
      <c r="G29" s="3" t="s">
        <v>53</v>
      </c>
      <c r="H29" s="3" t="s">
        <v>47</v>
      </c>
      <c r="I29" s="3" t="s">
        <v>48</v>
      </c>
      <c r="J29" s="20" t="s">
        <v>78</v>
      </c>
      <c r="K29" s="3">
        <v>0.28520286396181399</v>
      </c>
      <c r="L29" s="3">
        <v>419</v>
      </c>
      <c r="M29" s="3">
        <v>-3.5628875793572802E-2</v>
      </c>
      <c r="N29" s="20" t="s">
        <v>79</v>
      </c>
      <c r="O29" s="3">
        <v>2.55234555760445</v>
      </c>
      <c r="P29" s="3">
        <v>328</v>
      </c>
      <c r="Q29" s="3">
        <v>93</v>
      </c>
      <c r="R29" s="3">
        <v>8</v>
      </c>
      <c r="S29" s="3">
        <v>0</v>
      </c>
      <c r="T29" s="3">
        <v>0</v>
      </c>
      <c r="U29" s="3">
        <v>0</v>
      </c>
      <c r="V29" s="3">
        <v>0</v>
      </c>
      <c r="W29" s="3">
        <v>0</v>
      </c>
      <c r="X29" s="3">
        <v>0</v>
      </c>
      <c r="Y29" s="3">
        <v>0</v>
      </c>
      <c r="Z29" s="3">
        <v>0</v>
      </c>
      <c r="AA29" s="3">
        <v>0</v>
      </c>
      <c r="AB29" s="3">
        <v>0</v>
      </c>
      <c r="AC29" s="3">
        <v>0</v>
      </c>
      <c r="AD29" s="3">
        <v>1.8648018648018599E-2</v>
      </c>
      <c r="AE29" s="3">
        <v>0.21678321678321699</v>
      </c>
      <c r="AF29" s="3">
        <v>0.76456876456876499</v>
      </c>
      <c r="AG29" s="3">
        <v>0</v>
      </c>
      <c r="AH29" s="3">
        <v>0</v>
      </c>
      <c r="AI29" s="3">
        <v>0</v>
      </c>
      <c r="AJ29" s="3">
        <v>0.12703962703962701</v>
      </c>
      <c r="AK29" s="3">
        <v>0</v>
      </c>
      <c r="AL29" s="3">
        <v>0.87296037296037299</v>
      </c>
      <c r="AM29" s="3">
        <v>0</v>
      </c>
      <c r="AN29" s="3">
        <v>0.74907934750000005</v>
      </c>
      <c r="AO29" s="3">
        <v>0.71764348340659301</v>
      </c>
      <c r="AP29" s="3">
        <v>0.68964828731250005</v>
      </c>
      <c r="AQ29" s="3" t="s">
        <v>838</v>
      </c>
      <c r="AR29" s="3" t="s">
        <v>839</v>
      </c>
      <c r="AS29" s="3" t="s">
        <v>913</v>
      </c>
      <c r="AT29" s="3"/>
      <c r="AU29" s="3"/>
      <c r="AV29" s="3"/>
      <c r="AW29" s="11" t="s">
        <v>840</v>
      </c>
      <c r="AX29" s="6" t="s">
        <v>841</v>
      </c>
    </row>
    <row r="30" spans="1:50" hidden="1" x14ac:dyDescent="0.2">
      <c r="A30" s="3" t="s">
        <v>434</v>
      </c>
      <c r="B30" s="3" t="s">
        <v>90</v>
      </c>
      <c r="C30" s="3">
        <v>594684575</v>
      </c>
      <c r="D30" s="3" t="s">
        <v>52</v>
      </c>
      <c r="E30" s="3" t="s">
        <v>46</v>
      </c>
      <c r="F30" s="3" t="s">
        <v>53</v>
      </c>
      <c r="G30" s="3" t="s">
        <v>53</v>
      </c>
      <c r="H30" s="3" t="s">
        <v>86</v>
      </c>
      <c r="I30" s="3" t="s">
        <v>432</v>
      </c>
      <c r="J30" s="20" t="s">
        <v>435</v>
      </c>
      <c r="K30" s="3">
        <v>1.5673981191222099E-3</v>
      </c>
      <c r="L30" s="3">
        <v>319</v>
      </c>
      <c r="M30" s="3">
        <v>-13.7823359485824</v>
      </c>
      <c r="N30" s="20" t="s">
        <v>436</v>
      </c>
      <c r="O30" s="3">
        <v>2.38993559186722</v>
      </c>
      <c r="P30" s="3">
        <v>268</v>
      </c>
      <c r="Q30" s="3">
        <v>67</v>
      </c>
      <c r="R30" s="3">
        <v>22</v>
      </c>
      <c r="S30" s="3">
        <v>0</v>
      </c>
      <c r="T30" s="3">
        <v>0</v>
      </c>
      <c r="U30" s="3">
        <v>0</v>
      </c>
      <c r="V30" s="3">
        <v>0</v>
      </c>
      <c r="W30" s="3">
        <v>0</v>
      </c>
      <c r="X30" s="3">
        <v>0</v>
      </c>
      <c r="Y30" s="3">
        <v>0</v>
      </c>
      <c r="Z30" s="3">
        <v>0</v>
      </c>
      <c r="AA30" s="3">
        <v>0</v>
      </c>
      <c r="AB30" s="3">
        <v>0</v>
      </c>
      <c r="AC30" s="3">
        <v>0</v>
      </c>
      <c r="AD30" s="3">
        <v>6.1624649859944002E-2</v>
      </c>
      <c r="AE30" s="3">
        <v>0.18767507002801101</v>
      </c>
      <c r="AF30" s="3">
        <v>0.75070028011204504</v>
      </c>
      <c r="AG30" s="3">
        <v>0</v>
      </c>
      <c r="AH30" s="3">
        <v>0</v>
      </c>
      <c r="AI30" s="3">
        <v>0</v>
      </c>
      <c r="AJ30" s="3">
        <v>0.15546218487395</v>
      </c>
      <c r="AK30" s="3">
        <v>0</v>
      </c>
      <c r="AL30" s="3">
        <v>0.84453781512604997</v>
      </c>
      <c r="AM30" s="3">
        <v>0</v>
      </c>
      <c r="AN30" s="3">
        <v>2.7909090909090901</v>
      </c>
      <c r="AO30" s="3">
        <v>2.85</v>
      </c>
      <c r="AP30" s="3">
        <v>3.0873417721519001</v>
      </c>
      <c r="AQ30" s="3"/>
      <c r="AR30" s="3"/>
      <c r="AS30" s="3"/>
      <c r="AT30" s="3"/>
      <c r="AU30" s="3"/>
      <c r="AV30" s="3"/>
      <c r="AW30" s="6"/>
      <c r="AX30" s="6"/>
    </row>
    <row r="31" spans="1:50" hidden="1" x14ac:dyDescent="0.2">
      <c r="A31" s="3" t="s">
        <v>236</v>
      </c>
      <c r="B31" s="3" t="s">
        <v>138</v>
      </c>
      <c r="C31" s="3">
        <v>42387257</v>
      </c>
      <c r="D31" s="3" t="s">
        <v>52</v>
      </c>
      <c r="E31" s="3" t="s">
        <v>46</v>
      </c>
      <c r="F31" s="3" t="s">
        <v>53</v>
      </c>
      <c r="G31" s="3" t="s">
        <v>53</v>
      </c>
      <c r="H31" s="3" t="s">
        <v>234</v>
      </c>
      <c r="I31" s="3" t="s">
        <v>181</v>
      </c>
      <c r="J31" s="20" t="s">
        <v>237</v>
      </c>
      <c r="K31" s="3">
        <v>0.36792452830188699</v>
      </c>
      <c r="L31" s="3">
        <v>424</v>
      </c>
      <c r="M31" s="3">
        <v>-2.4446762975391301</v>
      </c>
      <c r="N31" s="3">
        <v>1.08455530642168E-3</v>
      </c>
      <c r="O31" s="3">
        <v>2.3194789548339001</v>
      </c>
      <c r="P31" s="3">
        <v>415</v>
      </c>
      <c r="Q31" s="3">
        <v>9</v>
      </c>
      <c r="R31" s="3">
        <v>5</v>
      </c>
      <c r="S31" s="3">
        <v>0</v>
      </c>
      <c r="T31" s="3">
        <v>0</v>
      </c>
      <c r="U31" s="3">
        <v>0</v>
      </c>
      <c r="V31" s="3">
        <v>0</v>
      </c>
      <c r="W31" s="3">
        <v>0</v>
      </c>
      <c r="X31" s="3">
        <v>0</v>
      </c>
      <c r="Y31" s="3">
        <v>0</v>
      </c>
      <c r="Z31" s="3">
        <v>0</v>
      </c>
      <c r="AA31" s="3">
        <v>0</v>
      </c>
      <c r="AB31" s="3">
        <v>0</v>
      </c>
      <c r="AC31" s="3">
        <v>0</v>
      </c>
      <c r="AD31" s="3">
        <v>1.1655011655011699E-2</v>
      </c>
      <c r="AE31" s="3">
        <v>2.0979020979021001E-2</v>
      </c>
      <c r="AF31" s="3">
        <v>0.96736596736596703</v>
      </c>
      <c r="AG31" s="3">
        <v>0</v>
      </c>
      <c r="AH31" s="3">
        <v>0</v>
      </c>
      <c r="AI31" s="3">
        <v>0</v>
      </c>
      <c r="AJ31" s="3">
        <v>2.2144522144522099E-2</v>
      </c>
      <c r="AK31" s="3">
        <v>0</v>
      </c>
      <c r="AL31" s="3">
        <v>0.97785547785547799</v>
      </c>
      <c r="AM31" s="3">
        <v>0</v>
      </c>
      <c r="AN31" s="3">
        <v>4.8</v>
      </c>
      <c r="AO31" s="3">
        <v>4.5555555555555598</v>
      </c>
      <c r="AP31" s="3">
        <v>9.3902439024390194</v>
      </c>
      <c r="AQ31" s="3"/>
      <c r="AR31" s="3"/>
      <c r="AS31" s="3"/>
      <c r="AT31" s="3"/>
      <c r="AU31" s="3"/>
      <c r="AV31" s="3"/>
      <c r="AW31" s="6"/>
      <c r="AX31" s="6"/>
    </row>
    <row r="32" spans="1:50" hidden="1" x14ac:dyDescent="0.2">
      <c r="A32" s="3" t="s">
        <v>618</v>
      </c>
      <c r="B32" s="3" t="s">
        <v>77</v>
      </c>
      <c r="C32" s="3">
        <v>80918909</v>
      </c>
      <c r="D32" s="3" t="s">
        <v>58</v>
      </c>
      <c r="E32" s="3" t="s">
        <v>46</v>
      </c>
      <c r="F32" s="3" t="s">
        <v>59</v>
      </c>
      <c r="G32" s="3" t="s">
        <v>59</v>
      </c>
      <c r="H32" s="3" t="s">
        <v>214</v>
      </c>
      <c r="I32" s="3" t="s">
        <v>519</v>
      </c>
      <c r="J32" s="20" t="s">
        <v>619</v>
      </c>
      <c r="K32" s="3">
        <v>4.5317220543806602E-2</v>
      </c>
      <c r="L32" s="3">
        <v>331</v>
      </c>
      <c r="M32" s="3">
        <v>2.17929816499429</v>
      </c>
      <c r="N32" s="20" t="s">
        <v>620</v>
      </c>
      <c r="O32" s="3">
        <v>1.9359864418249499</v>
      </c>
      <c r="P32" s="3">
        <v>212</v>
      </c>
      <c r="Q32" s="3">
        <v>0</v>
      </c>
      <c r="R32" s="3">
        <v>0</v>
      </c>
      <c r="S32" s="3">
        <v>0</v>
      </c>
      <c r="T32" s="3">
        <v>0</v>
      </c>
      <c r="U32" s="3">
        <v>1</v>
      </c>
      <c r="V32" s="3">
        <v>144</v>
      </c>
      <c r="W32" s="3">
        <v>0</v>
      </c>
      <c r="X32" s="3">
        <v>0</v>
      </c>
      <c r="Y32" s="3">
        <v>0</v>
      </c>
      <c r="Z32" s="3">
        <v>0</v>
      </c>
      <c r="AA32" s="3">
        <v>0</v>
      </c>
      <c r="AB32" s="3">
        <v>2.80112044817927E-3</v>
      </c>
      <c r="AC32" s="3">
        <v>0</v>
      </c>
      <c r="AD32" s="3">
        <v>0</v>
      </c>
      <c r="AE32" s="3">
        <v>0</v>
      </c>
      <c r="AF32" s="3">
        <v>0.59383753501400605</v>
      </c>
      <c r="AG32" s="3">
        <v>0</v>
      </c>
      <c r="AH32" s="3">
        <v>0</v>
      </c>
      <c r="AI32" s="3">
        <v>0.40336134453781503</v>
      </c>
      <c r="AJ32" s="3">
        <v>0</v>
      </c>
      <c r="AK32" s="3">
        <v>0.204481792717087</v>
      </c>
      <c r="AL32" s="3">
        <v>0.795518207282913</v>
      </c>
      <c r="AM32" s="3">
        <v>0</v>
      </c>
      <c r="AN32" s="3">
        <v>77</v>
      </c>
      <c r="AO32" s="3">
        <v>74.578125</v>
      </c>
      <c r="AP32" s="3">
        <v>74.242574257425701</v>
      </c>
      <c r="AQ32" s="3"/>
      <c r="AR32" s="3"/>
      <c r="AS32" s="3"/>
      <c r="AT32" s="3"/>
      <c r="AU32" s="3"/>
      <c r="AV32" s="3"/>
      <c r="AW32" s="6"/>
      <c r="AX32" s="6"/>
    </row>
    <row r="33" spans="1:50" hidden="1" x14ac:dyDescent="0.2">
      <c r="A33" s="3" t="s">
        <v>384</v>
      </c>
      <c r="B33" s="3" t="s">
        <v>224</v>
      </c>
      <c r="C33" s="3">
        <v>451590681</v>
      </c>
      <c r="D33" s="3" t="s">
        <v>156</v>
      </c>
      <c r="E33" s="3" t="s">
        <v>53</v>
      </c>
      <c r="F33" s="3" t="s">
        <v>59</v>
      </c>
      <c r="G33" s="3" t="s">
        <v>53</v>
      </c>
      <c r="H33" s="3" t="s">
        <v>382</v>
      </c>
      <c r="I33" s="3" t="s">
        <v>369</v>
      </c>
      <c r="J33" s="20" t="s">
        <v>385</v>
      </c>
      <c r="K33" s="3">
        <v>4.1071428571428502E-2</v>
      </c>
      <c r="L33" s="3">
        <v>280</v>
      </c>
      <c r="M33" s="3">
        <v>-0.38917644032410198</v>
      </c>
      <c r="N33" s="20" t="s">
        <v>386</v>
      </c>
      <c r="O33" s="3">
        <v>1.5782219895096701</v>
      </c>
      <c r="P33" s="3">
        <v>0</v>
      </c>
      <c r="Q33" s="3">
        <v>0</v>
      </c>
      <c r="R33" s="3">
        <v>3</v>
      </c>
      <c r="S33" s="3">
        <v>0</v>
      </c>
      <c r="T33" s="3">
        <v>0</v>
      </c>
      <c r="U33" s="3">
        <v>315</v>
      </c>
      <c r="V33" s="3">
        <v>0</v>
      </c>
      <c r="W33" s="3">
        <v>0</v>
      </c>
      <c r="X33" s="3">
        <v>46</v>
      </c>
      <c r="Y33" s="3">
        <v>0</v>
      </c>
      <c r="Z33" s="3">
        <v>0</v>
      </c>
      <c r="AA33" s="3">
        <v>0</v>
      </c>
      <c r="AB33" s="3">
        <v>0.86538461538461497</v>
      </c>
      <c r="AC33" s="3">
        <v>0.12637362637362601</v>
      </c>
      <c r="AD33" s="3">
        <v>8.2417582417582402E-3</v>
      </c>
      <c r="AE33" s="3">
        <v>0</v>
      </c>
      <c r="AF33" s="3">
        <v>0</v>
      </c>
      <c r="AG33" s="3">
        <v>0</v>
      </c>
      <c r="AH33" s="3">
        <v>0</v>
      </c>
      <c r="AI33" s="3">
        <v>0</v>
      </c>
      <c r="AJ33" s="3">
        <v>7.1428571428571397E-2</v>
      </c>
      <c r="AK33" s="3">
        <v>0.92857142857142905</v>
      </c>
      <c r="AL33" s="3">
        <v>0</v>
      </c>
      <c r="AM33" s="3">
        <v>0</v>
      </c>
      <c r="AN33" s="3">
        <v>0.1</v>
      </c>
      <c r="AO33" s="3">
        <v>0.43142857142857099</v>
      </c>
      <c r="AP33" s="3">
        <v>0.30823045267489702</v>
      </c>
      <c r="AQ33" s="3"/>
      <c r="AR33" s="3"/>
      <c r="AS33" s="3"/>
      <c r="AT33" s="3"/>
      <c r="AU33" s="3"/>
      <c r="AV33" s="3"/>
      <c r="AW33" s="6"/>
      <c r="AX33" s="6"/>
    </row>
    <row r="34" spans="1:50" hidden="1" x14ac:dyDescent="0.2">
      <c r="A34" s="3" t="s">
        <v>512</v>
      </c>
      <c r="B34" s="3" t="s">
        <v>97</v>
      </c>
      <c r="C34" s="3">
        <v>167194150</v>
      </c>
      <c r="D34" s="3" t="s">
        <v>225</v>
      </c>
      <c r="E34" s="3" t="s">
        <v>59</v>
      </c>
      <c r="F34" s="3" t="s">
        <v>46</v>
      </c>
      <c r="G34" s="3" t="s">
        <v>46</v>
      </c>
      <c r="H34" s="3" t="s">
        <v>173</v>
      </c>
      <c r="I34" s="3" t="s">
        <v>432</v>
      </c>
      <c r="J34" s="20" t="s">
        <v>513</v>
      </c>
      <c r="K34" s="3">
        <v>0.20541401273885401</v>
      </c>
      <c r="L34" s="3">
        <v>314</v>
      </c>
      <c r="M34" s="3">
        <v>4.32646110387088</v>
      </c>
      <c r="N34" s="3">
        <v>1.47952637565586E-3</v>
      </c>
      <c r="O34" s="3">
        <v>1.55557813283423</v>
      </c>
      <c r="P34" s="3">
        <v>2</v>
      </c>
      <c r="Q34" s="3">
        <v>0</v>
      </c>
      <c r="R34" s="3">
        <v>0</v>
      </c>
      <c r="S34" s="3">
        <v>0</v>
      </c>
      <c r="T34" s="3">
        <v>0</v>
      </c>
      <c r="U34" s="3">
        <v>346</v>
      </c>
      <c r="V34" s="3">
        <v>9</v>
      </c>
      <c r="W34" s="3">
        <v>0</v>
      </c>
      <c r="X34" s="3">
        <v>0</v>
      </c>
      <c r="Y34" s="3">
        <v>0</v>
      </c>
      <c r="Z34" s="3">
        <v>0</v>
      </c>
      <c r="AA34" s="3">
        <v>0</v>
      </c>
      <c r="AB34" s="3">
        <v>0.96918767507002801</v>
      </c>
      <c r="AC34" s="3">
        <v>0</v>
      </c>
      <c r="AD34" s="3">
        <v>0</v>
      </c>
      <c r="AE34" s="3">
        <v>0</v>
      </c>
      <c r="AF34" s="3">
        <v>5.60224089635854E-3</v>
      </c>
      <c r="AG34" s="3">
        <v>0</v>
      </c>
      <c r="AH34" s="3">
        <v>0</v>
      </c>
      <c r="AI34" s="3">
        <v>2.5210084033613401E-2</v>
      </c>
      <c r="AJ34" s="3">
        <v>0</v>
      </c>
      <c r="AK34" s="3">
        <v>0.98179271708683502</v>
      </c>
      <c r="AL34" s="3">
        <v>1.8207282913165299E-2</v>
      </c>
      <c r="AM34" s="3">
        <v>0</v>
      </c>
      <c r="AN34" s="3">
        <v>81</v>
      </c>
      <c r="AO34" s="3">
        <v>117.571428571429</v>
      </c>
      <c r="AP34" s="3">
        <v>110.741830065359</v>
      </c>
      <c r="AQ34" s="3"/>
      <c r="AR34" s="3"/>
      <c r="AS34" s="3"/>
      <c r="AT34" s="3"/>
      <c r="AU34" s="3"/>
      <c r="AV34" s="3"/>
      <c r="AW34" s="6"/>
      <c r="AX34" s="6"/>
    </row>
    <row r="35" spans="1:50" ht="98" hidden="1" x14ac:dyDescent="0.2">
      <c r="A35" s="3" t="s">
        <v>341</v>
      </c>
      <c r="B35" s="3" t="s">
        <v>57</v>
      </c>
      <c r="C35" s="3">
        <v>315074803</v>
      </c>
      <c r="D35" s="3" t="s">
        <v>71</v>
      </c>
      <c r="E35" s="3" t="s">
        <v>45</v>
      </c>
      <c r="F35" s="3" t="s">
        <v>59</v>
      </c>
      <c r="G35" s="3" t="s">
        <v>59</v>
      </c>
      <c r="H35" s="3" t="s">
        <v>337</v>
      </c>
      <c r="I35" s="3" t="s">
        <v>338</v>
      </c>
      <c r="J35" s="20" t="s">
        <v>342</v>
      </c>
      <c r="K35" s="3">
        <v>9.4696969696970203E-3</v>
      </c>
      <c r="L35" s="3">
        <v>264</v>
      </c>
      <c r="M35" s="3">
        <v>13.009896048679799</v>
      </c>
      <c r="N35" s="3">
        <v>9.1684607601321799E-4</v>
      </c>
      <c r="O35" s="3">
        <v>1.53025136580535</v>
      </c>
      <c r="P35" s="3">
        <v>0</v>
      </c>
      <c r="Q35" s="3">
        <v>0</v>
      </c>
      <c r="R35" s="3">
        <v>0</v>
      </c>
      <c r="S35" s="3">
        <v>0</v>
      </c>
      <c r="T35" s="3">
        <v>282</v>
      </c>
      <c r="U35" s="3">
        <v>7</v>
      </c>
      <c r="V35" s="3">
        <v>0</v>
      </c>
      <c r="W35" s="3">
        <v>75</v>
      </c>
      <c r="X35" s="3">
        <v>0</v>
      </c>
      <c r="Y35" s="3">
        <v>0</v>
      </c>
      <c r="Z35" s="3">
        <v>0.20604395604395601</v>
      </c>
      <c r="AA35" s="3">
        <v>0.77472527472527497</v>
      </c>
      <c r="AB35" s="3">
        <v>1.9230769230769201E-2</v>
      </c>
      <c r="AC35" s="3">
        <v>0</v>
      </c>
      <c r="AD35" s="3">
        <v>0</v>
      </c>
      <c r="AE35" s="3">
        <v>0</v>
      </c>
      <c r="AF35" s="3">
        <v>0</v>
      </c>
      <c r="AG35" s="3">
        <v>0</v>
      </c>
      <c r="AH35" s="3">
        <v>0</v>
      </c>
      <c r="AI35" s="3">
        <v>0</v>
      </c>
      <c r="AJ35" s="3">
        <v>0</v>
      </c>
      <c r="AK35" s="3">
        <v>0.122252747252747</v>
      </c>
      <c r="AL35" s="3">
        <v>0</v>
      </c>
      <c r="AM35" s="3">
        <v>0.87774725274725296</v>
      </c>
      <c r="AN35" s="3">
        <v>98.333333339999996</v>
      </c>
      <c r="AO35" s="3">
        <v>93.491028747457605</v>
      </c>
      <c r="AP35" s="3">
        <v>94.0162504125</v>
      </c>
      <c r="AQ35" s="3" t="s">
        <v>914</v>
      </c>
      <c r="AR35" s="3"/>
      <c r="AS35" s="3" t="s">
        <v>725</v>
      </c>
      <c r="AT35" s="3" t="s">
        <v>636</v>
      </c>
      <c r="AU35" s="4">
        <v>0.99</v>
      </c>
      <c r="AV35" s="4">
        <v>0.9</v>
      </c>
      <c r="AW35" s="10" t="s">
        <v>726</v>
      </c>
      <c r="AX35" s="6" t="s">
        <v>921</v>
      </c>
    </row>
    <row r="36" spans="1:50" hidden="1" x14ac:dyDescent="0.2">
      <c r="A36" s="3" t="s">
        <v>373</v>
      </c>
      <c r="B36" s="3" t="s">
        <v>160</v>
      </c>
      <c r="C36" s="3">
        <v>338632504</v>
      </c>
      <c r="D36" s="3" t="s">
        <v>58</v>
      </c>
      <c r="E36" s="3" t="s">
        <v>46</v>
      </c>
      <c r="F36" s="3" t="s">
        <v>59</v>
      </c>
      <c r="G36" s="3" t="s">
        <v>59</v>
      </c>
      <c r="H36" s="3" t="s">
        <v>86</v>
      </c>
      <c r="I36" s="3" t="s">
        <v>369</v>
      </c>
      <c r="J36" s="20" t="s">
        <v>374</v>
      </c>
      <c r="K36" s="3">
        <v>0.11607142857142901</v>
      </c>
      <c r="L36" s="3">
        <v>280</v>
      </c>
      <c r="M36" s="3">
        <v>-2.6328109640108202</v>
      </c>
      <c r="N36" s="3">
        <v>7.44113838990675E-3</v>
      </c>
      <c r="O36" s="3">
        <v>1.41625562681055</v>
      </c>
      <c r="P36" s="3">
        <v>105</v>
      </c>
      <c r="Q36" s="3">
        <v>0</v>
      </c>
      <c r="R36" s="3">
        <v>0</v>
      </c>
      <c r="S36" s="3">
        <v>0</v>
      </c>
      <c r="T36" s="3">
        <v>0</v>
      </c>
      <c r="U36" s="3">
        <v>91</v>
      </c>
      <c r="V36" s="3">
        <v>168</v>
      </c>
      <c r="W36" s="3">
        <v>0</v>
      </c>
      <c r="X36" s="3">
        <v>0</v>
      </c>
      <c r="Y36" s="3">
        <v>0</v>
      </c>
      <c r="Z36" s="3">
        <v>0</v>
      </c>
      <c r="AA36" s="3">
        <v>0</v>
      </c>
      <c r="AB36" s="3">
        <v>0.25</v>
      </c>
      <c r="AC36" s="3">
        <v>0</v>
      </c>
      <c r="AD36" s="3">
        <v>0</v>
      </c>
      <c r="AE36" s="3">
        <v>0</v>
      </c>
      <c r="AF36" s="3">
        <v>0.28846153846153799</v>
      </c>
      <c r="AG36" s="3">
        <v>0</v>
      </c>
      <c r="AH36" s="3">
        <v>0</v>
      </c>
      <c r="AI36" s="3">
        <v>0.46153846153846201</v>
      </c>
      <c r="AJ36" s="3">
        <v>0</v>
      </c>
      <c r="AK36" s="3">
        <v>0.480769230769231</v>
      </c>
      <c r="AL36" s="3">
        <v>0.51923076923076905</v>
      </c>
      <c r="AM36" s="3">
        <v>0</v>
      </c>
      <c r="AN36" s="3">
        <v>9.1424657534246592</v>
      </c>
      <c r="AO36" s="3">
        <v>8.0946153846153805</v>
      </c>
      <c r="AP36" s="3">
        <v>7.0311688311688298</v>
      </c>
      <c r="AQ36" s="3"/>
      <c r="AR36" s="3"/>
      <c r="AS36" s="3"/>
      <c r="AT36" s="3"/>
      <c r="AU36" s="3"/>
      <c r="AV36" s="3"/>
      <c r="AW36" s="6"/>
      <c r="AX36" s="6"/>
    </row>
    <row r="37" spans="1:50" ht="126" hidden="1" x14ac:dyDescent="0.2">
      <c r="A37" s="3" t="s">
        <v>137</v>
      </c>
      <c r="B37" s="3" t="s">
        <v>138</v>
      </c>
      <c r="C37" s="3">
        <v>4086382</v>
      </c>
      <c r="D37" s="3" t="s">
        <v>139</v>
      </c>
      <c r="E37" s="3" t="s">
        <v>46</v>
      </c>
      <c r="F37" s="3" t="s">
        <v>45</v>
      </c>
      <c r="G37" s="3" t="s">
        <v>45</v>
      </c>
      <c r="H37" s="3" t="s">
        <v>135</v>
      </c>
      <c r="I37" s="3" t="s">
        <v>48</v>
      </c>
      <c r="J37" s="20" t="s">
        <v>140</v>
      </c>
      <c r="K37" s="3">
        <v>0.14622641509434001</v>
      </c>
      <c r="L37" s="3">
        <v>424</v>
      </c>
      <c r="M37" s="3">
        <v>3.3644799662046698</v>
      </c>
      <c r="N37" s="3">
        <v>3.7750069535124697E-4</v>
      </c>
      <c r="O37" s="3">
        <v>1.3481779494552499</v>
      </c>
      <c r="P37" s="3">
        <v>137</v>
      </c>
      <c r="Q37" s="3">
        <v>0</v>
      </c>
      <c r="R37" s="3">
        <v>0</v>
      </c>
      <c r="S37" s="3">
        <v>247</v>
      </c>
      <c r="T37" s="3">
        <v>45</v>
      </c>
      <c r="U37" s="3">
        <v>0</v>
      </c>
      <c r="V37" s="3">
        <v>0</v>
      </c>
      <c r="W37" s="3">
        <v>0</v>
      </c>
      <c r="X37" s="3">
        <v>0</v>
      </c>
      <c r="Y37" s="3">
        <v>0</v>
      </c>
      <c r="Z37" s="3">
        <v>0</v>
      </c>
      <c r="AA37" s="3">
        <v>0.10489510489510501</v>
      </c>
      <c r="AB37" s="3">
        <v>0</v>
      </c>
      <c r="AC37" s="3">
        <v>0</v>
      </c>
      <c r="AD37" s="3">
        <v>0</v>
      </c>
      <c r="AE37" s="3">
        <v>0</v>
      </c>
      <c r="AF37" s="3">
        <v>0.31934731934731903</v>
      </c>
      <c r="AG37" s="3">
        <v>0.57575757575757602</v>
      </c>
      <c r="AH37" s="3">
        <v>0</v>
      </c>
      <c r="AI37" s="3">
        <v>0</v>
      </c>
      <c r="AJ37" s="3">
        <v>0</v>
      </c>
      <c r="AK37" s="3">
        <v>0</v>
      </c>
      <c r="AL37" s="3">
        <v>0.60722610722610704</v>
      </c>
      <c r="AM37" s="3">
        <v>0.39277389277389302</v>
      </c>
      <c r="AN37" s="3">
        <v>69.5555555555556</v>
      </c>
      <c r="AO37" s="3">
        <v>68.641975308642003</v>
      </c>
      <c r="AP37" s="3">
        <v>69.632352941176507</v>
      </c>
      <c r="AQ37" s="3" t="s">
        <v>914</v>
      </c>
      <c r="AR37" s="3"/>
      <c r="AS37" s="3" t="s">
        <v>880</v>
      </c>
      <c r="AT37" s="3" t="s">
        <v>636</v>
      </c>
      <c r="AU37" s="3" t="s">
        <v>881</v>
      </c>
      <c r="AV37" s="3" t="s">
        <v>882</v>
      </c>
      <c r="AW37" s="12" t="s">
        <v>883</v>
      </c>
      <c r="AX37" s="6" t="s">
        <v>934</v>
      </c>
    </row>
    <row r="38" spans="1:50" hidden="1" x14ac:dyDescent="0.2">
      <c r="A38" s="3" t="s">
        <v>552</v>
      </c>
      <c r="B38" s="3" t="s">
        <v>138</v>
      </c>
      <c r="C38" s="3">
        <v>511030438</v>
      </c>
      <c r="D38" s="3" t="s">
        <v>127</v>
      </c>
      <c r="E38" s="3" t="s">
        <v>45</v>
      </c>
      <c r="F38" s="3" t="s">
        <v>53</v>
      </c>
      <c r="G38" s="3" t="s">
        <v>53</v>
      </c>
      <c r="H38" s="3" t="s">
        <v>234</v>
      </c>
      <c r="I38" s="3" t="s">
        <v>519</v>
      </c>
      <c r="J38" s="20" t="s">
        <v>553</v>
      </c>
      <c r="K38" s="3">
        <v>2.6073619631901801E-2</v>
      </c>
      <c r="L38" s="3">
        <v>326</v>
      </c>
      <c r="M38" s="3">
        <v>-5.3440482234478397</v>
      </c>
      <c r="N38" s="20" t="s">
        <v>554</v>
      </c>
      <c r="O38" s="3">
        <v>1.2415251457922101</v>
      </c>
      <c r="P38" s="3">
        <v>0</v>
      </c>
      <c r="Q38" s="3">
        <v>0</v>
      </c>
      <c r="R38" s="3">
        <v>9</v>
      </c>
      <c r="S38" s="3">
        <v>0</v>
      </c>
      <c r="T38" s="3">
        <v>270</v>
      </c>
      <c r="U38" s="3">
        <v>0</v>
      </c>
      <c r="V38" s="3">
        <v>0</v>
      </c>
      <c r="W38" s="3">
        <v>0</v>
      </c>
      <c r="X38" s="3">
        <v>0</v>
      </c>
      <c r="Y38" s="3">
        <v>78</v>
      </c>
      <c r="Z38" s="3">
        <v>0</v>
      </c>
      <c r="AA38" s="3">
        <v>0.75630252100840301</v>
      </c>
      <c r="AB38" s="3">
        <v>0</v>
      </c>
      <c r="AC38" s="3">
        <v>0</v>
      </c>
      <c r="AD38" s="3">
        <v>2.5210084033613401E-2</v>
      </c>
      <c r="AE38" s="3">
        <v>0</v>
      </c>
      <c r="AF38" s="3">
        <v>0</v>
      </c>
      <c r="AG38" s="3">
        <v>0</v>
      </c>
      <c r="AH38" s="3">
        <v>0.218487394957983</v>
      </c>
      <c r="AI38" s="3">
        <v>0</v>
      </c>
      <c r="AJ38" s="3">
        <v>0.13445378151260501</v>
      </c>
      <c r="AK38" s="3">
        <v>0</v>
      </c>
      <c r="AL38" s="3">
        <v>0</v>
      </c>
      <c r="AM38" s="3">
        <v>0.86554621848739499</v>
      </c>
      <c r="AN38" s="3">
        <v>2.1111111111111098</v>
      </c>
      <c r="AO38" s="3">
        <v>4.9859154929577496</v>
      </c>
      <c r="AP38" s="3">
        <v>5.3292682926829302</v>
      </c>
      <c r="AQ38" s="3"/>
      <c r="AR38" s="3"/>
      <c r="AS38" s="3"/>
      <c r="AT38" s="3"/>
      <c r="AU38" s="3"/>
      <c r="AV38" s="3"/>
      <c r="AW38" s="6"/>
      <c r="AX38" s="6"/>
    </row>
    <row r="39" spans="1:50" ht="70" hidden="1" x14ac:dyDescent="0.2">
      <c r="A39" s="3" t="s">
        <v>261</v>
      </c>
      <c r="B39" s="3" t="s">
        <v>43</v>
      </c>
      <c r="C39" s="3">
        <v>535344826</v>
      </c>
      <c r="D39" s="3" t="s">
        <v>67</v>
      </c>
      <c r="E39" s="3" t="s">
        <v>53</v>
      </c>
      <c r="F39" s="3" t="s">
        <v>46</v>
      </c>
      <c r="G39" s="3" t="s">
        <v>46</v>
      </c>
      <c r="H39" s="3" t="s">
        <v>262</v>
      </c>
      <c r="I39" s="3" t="s">
        <v>259</v>
      </c>
      <c r="J39" s="20" t="s">
        <v>263</v>
      </c>
      <c r="K39" s="3">
        <v>0.14054054054054099</v>
      </c>
      <c r="L39" s="3">
        <v>370</v>
      </c>
      <c r="M39" s="3">
        <v>-0.867235748801647</v>
      </c>
      <c r="N39" s="3">
        <v>2.0634573601671798E-3</v>
      </c>
      <c r="O39" s="3">
        <v>1.1435745295146</v>
      </c>
      <c r="P39" s="3">
        <v>12</v>
      </c>
      <c r="Q39" s="3">
        <v>92</v>
      </c>
      <c r="R39" s="3">
        <v>325</v>
      </c>
      <c r="S39" s="3">
        <v>0</v>
      </c>
      <c r="T39" s="3">
        <v>0</v>
      </c>
      <c r="U39" s="3">
        <v>0</v>
      </c>
      <c r="V39" s="3">
        <v>0</v>
      </c>
      <c r="W39" s="3">
        <v>0</v>
      </c>
      <c r="X39" s="3">
        <v>0</v>
      </c>
      <c r="Y39" s="3">
        <v>0</v>
      </c>
      <c r="Z39" s="3">
        <v>0</v>
      </c>
      <c r="AA39" s="3">
        <v>0</v>
      </c>
      <c r="AB39" s="3">
        <v>0</v>
      </c>
      <c r="AC39" s="3">
        <v>0</v>
      </c>
      <c r="AD39" s="3">
        <v>0.75757575757575801</v>
      </c>
      <c r="AE39" s="3">
        <v>0.21445221445221399</v>
      </c>
      <c r="AF39" s="3">
        <v>2.7972027972028E-2</v>
      </c>
      <c r="AG39" s="3">
        <v>0</v>
      </c>
      <c r="AH39" s="3">
        <v>0</v>
      </c>
      <c r="AI39" s="3">
        <v>0</v>
      </c>
      <c r="AJ39" s="3">
        <v>0.86480186480186505</v>
      </c>
      <c r="AK39" s="3">
        <v>0</v>
      </c>
      <c r="AL39" s="3">
        <v>0.13519813519813501</v>
      </c>
      <c r="AM39" s="3">
        <v>0</v>
      </c>
      <c r="AN39" s="3">
        <v>24.683333333333302</v>
      </c>
      <c r="AO39" s="3">
        <v>23.6675</v>
      </c>
      <c r="AP39" s="3">
        <v>23.616726618704998</v>
      </c>
      <c r="AQ39" s="3" t="s">
        <v>914</v>
      </c>
      <c r="AR39" s="3"/>
      <c r="AS39" s="3" t="s">
        <v>845</v>
      </c>
      <c r="AT39" s="3" t="s">
        <v>636</v>
      </c>
      <c r="AU39" s="4">
        <v>0.83</v>
      </c>
      <c r="AV39" s="5">
        <v>0.85209999999999997</v>
      </c>
      <c r="AW39" s="8" t="s">
        <v>846</v>
      </c>
      <c r="AX39" s="6" t="s">
        <v>847</v>
      </c>
    </row>
    <row r="40" spans="1:50" ht="70" hidden="1" x14ac:dyDescent="0.2">
      <c r="A40" s="3" t="s">
        <v>446</v>
      </c>
      <c r="B40" s="3" t="s">
        <v>70</v>
      </c>
      <c r="C40" s="3">
        <v>301996644</v>
      </c>
      <c r="D40" s="3" t="s">
        <v>67</v>
      </c>
      <c r="E40" s="3" t="s">
        <v>46</v>
      </c>
      <c r="F40" s="3" t="s">
        <v>53</v>
      </c>
      <c r="G40" s="3" t="s">
        <v>46</v>
      </c>
      <c r="H40" s="3" t="s">
        <v>86</v>
      </c>
      <c r="I40" s="3" t="s">
        <v>432</v>
      </c>
      <c r="J40" s="20" t="s">
        <v>447</v>
      </c>
      <c r="K40" s="3">
        <v>1.5673981191222099E-3</v>
      </c>
      <c r="L40" s="3">
        <v>319</v>
      </c>
      <c r="M40" s="3">
        <v>-17.142776707835299</v>
      </c>
      <c r="N40" s="20" t="s">
        <v>448</v>
      </c>
      <c r="O40" s="3">
        <v>1.0893526687752899</v>
      </c>
      <c r="P40" s="3">
        <v>0</v>
      </c>
      <c r="Q40" s="3">
        <v>18</v>
      </c>
      <c r="R40" s="3">
        <v>339</v>
      </c>
      <c r="S40" s="3">
        <v>0</v>
      </c>
      <c r="T40" s="3">
        <v>0</v>
      </c>
      <c r="U40" s="3">
        <v>0</v>
      </c>
      <c r="V40" s="3">
        <v>0</v>
      </c>
      <c r="W40" s="3">
        <v>0</v>
      </c>
      <c r="X40" s="3">
        <v>0</v>
      </c>
      <c r="Y40" s="3">
        <v>0</v>
      </c>
      <c r="Z40" s="3">
        <v>0</v>
      </c>
      <c r="AA40" s="3">
        <v>0</v>
      </c>
      <c r="AB40" s="3">
        <v>0</v>
      </c>
      <c r="AC40" s="3">
        <v>0</v>
      </c>
      <c r="AD40" s="3">
        <v>0.94957983193277296</v>
      </c>
      <c r="AE40" s="3">
        <v>5.0420168067226899E-2</v>
      </c>
      <c r="AF40" s="3">
        <v>0</v>
      </c>
      <c r="AG40" s="3">
        <v>0</v>
      </c>
      <c r="AH40" s="3">
        <v>0</v>
      </c>
      <c r="AI40" s="3">
        <v>0</v>
      </c>
      <c r="AJ40" s="3">
        <v>0.97478991596638698</v>
      </c>
      <c r="AK40" s="3">
        <v>0</v>
      </c>
      <c r="AL40" s="3">
        <v>2.5210084033613401E-2</v>
      </c>
      <c r="AM40" s="3">
        <v>0</v>
      </c>
      <c r="AN40" s="3" t="s">
        <v>55</v>
      </c>
      <c r="AO40" s="3">
        <v>3.90625</v>
      </c>
      <c r="AP40" s="3">
        <v>2.9755775577557801</v>
      </c>
      <c r="AQ40" s="3" t="s">
        <v>688</v>
      </c>
      <c r="AR40" s="3" t="s">
        <v>689</v>
      </c>
      <c r="AS40" s="3" t="s">
        <v>690</v>
      </c>
      <c r="AT40" s="3" t="s">
        <v>636</v>
      </c>
      <c r="AU40" s="4">
        <v>1</v>
      </c>
      <c r="AV40" s="5">
        <v>0.98009999999999997</v>
      </c>
      <c r="AW40" s="10" t="s">
        <v>691</v>
      </c>
      <c r="AX40" s="6" t="s">
        <v>692</v>
      </c>
    </row>
    <row r="41" spans="1:50" hidden="1" x14ac:dyDescent="0.2">
      <c r="A41" s="3" t="s">
        <v>69</v>
      </c>
      <c r="B41" s="3" t="s">
        <v>70</v>
      </c>
      <c r="C41" s="3">
        <v>134934580</v>
      </c>
      <c r="D41" s="3" t="s">
        <v>71</v>
      </c>
      <c r="E41" s="3" t="s">
        <v>45</v>
      </c>
      <c r="F41" s="3" t="s">
        <v>59</v>
      </c>
      <c r="G41" s="3" t="s">
        <v>59</v>
      </c>
      <c r="H41" s="3" t="s">
        <v>47</v>
      </c>
      <c r="I41" s="3" t="s">
        <v>48</v>
      </c>
      <c r="J41" s="20" t="s">
        <v>72</v>
      </c>
      <c r="K41" s="3">
        <v>0.32458233890214799</v>
      </c>
      <c r="L41" s="3">
        <v>419</v>
      </c>
      <c r="M41" s="3">
        <v>-2.2881721504792701E-2</v>
      </c>
      <c r="N41" s="3">
        <v>4.7444507341385398E-4</v>
      </c>
      <c r="O41" s="3">
        <v>1.05338463108377</v>
      </c>
      <c r="P41" s="3">
        <v>0</v>
      </c>
      <c r="Q41" s="3">
        <v>0</v>
      </c>
      <c r="R41" s="3">
        <v>0</v>
      </c>
      <c r="S41" s="3">
        <v>0</v>
      </c>
      <c r="T41" s="3">
        <v>406</v>
      </c>
      <c r="U41" s="3">
        <v>1</v>
      </c>
      <c r="V41" s="3">
        <v>0</v>
      </c>
      <c r="W41" s="3">
        <v>22</v>
      </c>
      <c r="X41" s="3">
        <v>0</v>
      </c>
      <c r="Y41" s="3">
        <v>0</v>
      </c>
      <c r="Z41" s="3">
        <v>5.1282051282051301E-2</v>
      </c>
      <c r="AA41" s="3">
        <v>0.94638694638694598</v>
      </c>
      <c r="AB41" s="3">
        <v>2.3310023310023301E-3</v>
      </c>
      <c r="AC41" s="3">
        <v>0</v>
      </c>
      <c r="AD41" s="3">
        <v>0</v>
      </c>
      <c r="AE41" s="3">
        <v>0</v>
      </c>
      <c r="AF41" s="3">
        <v>0</v>
      </c>
      <c r="AG41" s="3">
        <v>0</v>
      </c>
      <c r="AH41" s="3">
        <v>0</v>
      </c>
      <c r="AI41" s="3">
        <v>0</v>
      </c>
      <c r="AJ41" s="3">
        <v>0</v>
      </c>
      <c r="AK41" s="3">
        <v>2.7972027972028E-2</v>
      </c>
      <c r="AL41" s="3">
        <v>0</v>
      </c>
      <c r="AM41" s="3">
        <v>0.97202797202797198</v>
      </c>
      <c r="AN41" s="3">
        <v>0.80149115000000004</v>
      </c>
      <c r="AO41" s="3">
        <v>0.69255211900000002</v>
      </c>
      <c r="AP41" s="3">
        <v>0.69681685974874397</v>
      </c>
      <c r="AQ41" s="3"/>
      <c r="AR41" s="3"/>
      <c r="AS41" s="3"/>
      <c r="AT41" s="3"/>
      <c r="AU41" s="3"/>
      <c r="AV41" s="3"/>
      <c r="AW41" s="6"/>
      <c r="AX41" s="6"/>
    </row>
    <row r="42" spans="1:50" ht="154" hidden="1" x14ac:dyDescent="0.2">
      <c r="A42" s="3" t="s">
        <v>266</v>
      </c>
      <c r="B42" s="3" t="s">
        <v>123</v>
      </c>
      <c r="C42" s="3">
        <v>182383764</v>
      </c>
      <c r="D42" s="3" t="s">
        <v>85</v>
      </c>
      <c r="E42" s="3" t="s">
        <v>45</v>
      </c>
      <c r="F42" s="3" t="s">
        <v>53</v>
      </c>
      <c r="G42" s="3" t="s">
        <v>45</v>
      </c>
      <c r="H42" s="3" t="s">
        <v>262</v>
      </c>
      <c r="I42" s="3" t="s">
        <v>259</v>
      </c>
      <c r="J42" s="20" t="s">
        <v>267</v>
      </c>
      <c r="K42" s="3">
        <v>0.21216216216216199</v>
      </c>
      <c r="L42" s="3">
        <v>370</v>
      </c>
      <c r="M42" s="3">
        <v>0.743256451019079</v>
      </c>
      <c r="N42" s="3">
        <v>1.2581146385919899E-3</v>
      </c>
      <c r="O42" s="3">
        <v>1.0441419670212899</v>
      </c>
      <c r="P42" s="3">
        <v>0</v>
      </c>
      <c r="Q42" s="3">
        <v>0</v>
      </c>
      <c r="R42" s="3">
        <v>310</v>
      </c>
      <c r="S42" s="3">
        <v>0</v>
      </c>
      <c r="T42" s="3">
        <v>5</v>
      </c>
      <c r="U42" s="3">
        <v>0</v>
      </c>
      <c r="V42" s="3">
        <v>0</v>
      </c>
      <c r="W42" s="3">
        <v>0</v>
      </c>
      <c r="X42" s="3">
        <v>0</v>
      </c>
      <c r="Y42" s="3">
        <v>114</v>
      </c>
      <c r="Z42" s="3">
        <v>0</v>
      </c>
      <c r="AA42" s="3">
        <v>1.1655011655011699E-2</v>
      </c>
      <c r="AB42" s="3">
        <v>0</v>
      </c>
      <c r="AC42" s="3">
        <v>0</v>
      </c>
      <c r="AD42" s="3">
        <v>0.72261072261072301</v>
      </c>
      <c r="AE42" s="3">
        <v>0</v>
      </c>
      <c r="AF42" s="3">
        <v>0</v>
      </c>
      <c r="AG42" s="3">
        <v>0</v>
      </c>
      <c r="AH42" s="3">
        <v>0.26573426573426601</v>
      </c>
      <c r="AI42" s="3">
        <v>0</v>
      </c>
      <c r="AJ42" s="3">
        <v>0.85547785547785504</v>
      </c>
      <c r="AK42" s="3">
        <v>0</v>
      </c>
      <c r="AL42" s="3">
        <v>0</v>
      </c>
      <c r="AM42" s="3">
        <v>0.14452214452214501</v>
      </c>
      <c r="AN42" s="3">
        <v>22.6</v>
      </c>
      <c r="AO42" s="3">
        <v>23.8686868686869</v>
      </c>
      <c r="AP42" s="3">
        <v>23.605451127819499</v>
      </c>
      <c r="AQ42" s="3" t="s">
        <v>853</v>
      </c>
      <c r="AR42" s="3" t="s">
        <v>854</v>
      </c>
      <c r="AS42" s="3" t="s">
        <v>855</v>
      </c>
      <c r="AT42" s="3" t="s">
        <v>636</v>
      </c>
      <c r="AU42" s="4">
        <v>1</v>
      </c>
      <c r="AV42" s="5">
        <v>0.995</v>
      </c>
      <c r="AW42" s="10" t="s">
        <v>856</v>
      </c>
      <c r="AX42" s="6" t="s">
        <v>930</v>
      </c>
    </row>
    <row r="43" spans="1:50" hidden="1" x14ac:dyDescent="0.2">
      <c r="A43" s="3" t="s">
        <v>295</v>
      </c>
      <c r="B43" s="3" t="s">
        <v>57</v>
      </c>
      <c r="C43" s="3">
        <v>111371772</v>
      </c>
      <c r="D43" s="3" t="s">
        <v>58</v>
      </c>
      <c r="E43" s="3" t="s">
        <v>46</v>
      </c>
      <c r="F43" s="3" t="s">
        <v>59</v>
      </c>
      <c r="G43" s="3" t="s">
        <v>59</v>
      </c>
      <c r="H43" s="3" t="s">
        <v>86</v>
      </c>
      <c r="I43" s="3" t="s">
        <v>259</v>
      </c>
      <c r="J43" s="20" t="s">
        <v>296</v>
      </c>
      <c r="K43" s="3">
        <v>3.3333333333333002E-3</v>
      </c>
      <c r="L43" s="3">
        <v>300</v>
      </c>
      <c r="M43" s="3">
        <v>-3.2275947819748998</v>
      </c>
      <c r="N43" s="20" t="s">
        <v>297</v>
      </c>
      <c r="O43" s="3">
        <v>1.0364651861024801</v>
      </c>
      <c r="P43" s="3">
        <v>336</v>
      </c>
      <c r="Q43" s="3">
        <v>0</v>
      </c>
      <c r="R43" s="3">
        <v>0</v>
      </c>
      <c r="S43" s="3">
        <v>0</v>
      </c>
      <c r="T43" s="3">
        <v>0</v>
      </c>
      <c r="U43" s="3">
        <v>0</v>
      </c>
      <c r="V43" s="3">
        <v>93</v>
      </c>
      <c r="W43" s="3">
        <v>0</v>
      </c>
      <c r="X43" s="3">
        <v>0</v>
      </c>
      <c r="Y43" s="3">
        <v>0</v>
      </c>
      <c r="Z43" s="3">
        <v>0</v>
      </c>
      <c r="AA43" s="3">
        <v>0</v>
      </c>
      <c r="AB43" s="3">
        <v>0</v>
      </c>
      <c r="AC43" s="3">
        <v>0</v>
      </c>
      <c r="AD43" s="3">
        <v>0</v>
      </c>
      <c r="AE43" s="3">
        <v>0</v>
      </c>
      <c r="AF43" s="3">
        <v>0.78321678321678301</v>
      </c>
      <c r="AG43" s="3">
        <v>0</v>
      </c>
      <c r="AH43" s="3">
        <v>0</v>
      </c>
      <c r="AI43" s="3">
        <v>0.21678321678321699</v>
      </c>
      <c r="AJ43" s="3">
        <v>0</v>
      </c>
      <c r="AK43" s="3">
        <v>0.108391608391608</v>
      </c>
      <c r="AL43" s="3">
        <v>0.891608391608392</v>
      </c>
      <c r="AM43" s="3">
        <v>0</v>
      </c>
      <c r="AN43" s="3" t="s">
        <v>55</v>
      </c>
      <c r="AO43" s="3">
        <v>0.46617647058823503</v>
      </c>
      <c r="AP43" s="3">
        <v>0.19181034482758599</v>
      </c>
      <c r="AQ43" s="3"/>
      <c r="AR43" s="3"/>
      <c r="AS43" s="3"/>
      <c r="AT43" s="3"/>
      <c r="AU43" s="3"/>
      <c r="AV43" s="3"/>
      <c r="AW43" s="6"/>
      <c r="AX43" s="6"/>
    </row>
    <row r="44" spans="1:50" ht="168" hidden="1" x14ac:dyDescent="0.2">
      <c r="A44" s="3" t="s">
        <v>587</v>
      </c>
      <c r="B44" s="3" t="s">
        <v>70</v>
      </c>
      <c r="C44" s="3">
        <v>61086311</v>
      </c>
      <c r="D44" s="3" t="s">
        <v>139</v>
      </c>
      <c r="E44" s="3" t="s">
        <v>46</v>
      </c>
      <c r="F44" s="3" t="s">
        <v>45</v>
      </c>
      <c r="G44" s="3" t="s">
        <v>45</v>
      </c>
      <c r="H44" s="3" t="s">
        <v>382</v>
      </c>
      <c r="I44" s="3" t="s">
        <v>519</v>
      </c>
      <c r="J44" s="20" t="s">
        <v>588</v>
      </c>
      <c r="K44" s="3">
        <v>2.3291925465838501E-2</v>
      </c>
      <c r="L44" s="3">
        <v>322</v>
      </c>
      <c r="M44" s="3">
        <v>0.315278666992588</v>
      </c>
      <c r="N44" s="20" t="s">
        <v>589</v>
      </c>
      <c r="O44" s="3">
        <v>1.01010831515507</v>
      </c>
      <c r="P44" s="3">
        <v>303</v>
      </c>
      <c r="Q44" s="3">
        <v>0</v>
      </c>
      <c r="R44" s="3">
        <v>0</v>
      </c>
      <c r="S44" s="3">
        <v>53</v>
      </c>
      <c r="T44" s="3">
        <v>1</v>
      </c>
      <c r="U44" s="3">
        <v>0</v>
      </c>
      <c r="V44" s="3">
        <v>0</v>
      </c>
      <c r="W44" s="3">
        <v>0</v>
      </c>
      <c r="X44" s="3">
        <v>0</v>
      </c>
      <c r="Y44" s="3">
        <v>0</v>
      </c>
      <c r="Z44" s="3">
        <v>0</v>
      </c>
      <c r="AA44" s="3">
        <v>2.80112044817927E-3</v>
      </c>
      <c r="AB44" s="3">
        <v>0</v>
      </c>
      <c r="AC44" s="3">
        <v>0</v>
      </c>
      <c r="AD44" s="3">
        <v>0</v>
      </c>
      <c r="AE44" s="3">
        <v>0</v>
      </c>
      <c r="AF44" s="3">
        <v>0.84873949579831898</v>
      </c>
      <c r="AG44" s="3">
        <v>0.14845938375350101</v>
      </c>
      <c r="AH44" s="3">
        <v>0</v>
      </c>
      <c r="AI44" s="3">
        <v>0</v>
      </c>
      <c r="AJ44" s="3">
        <v>0</v>
      </c>
      <c r="AK44" s="3">
        <v>0</v>
      </c>
      <c r="AL44" s="3">
        <v>0.92296918767506997</v>
      </c>
      <c r="AM44" s="3">
        <v>7.7030812324930004E-2</v>
      </c>
      <c r="AN44" s="3">
        <v>0</v>
      </c>
      <c r="AO44" s="3">
        <v>4.8837209302325602E-2</v>
      </c>
      <c r="AP44" s="3">
        <v>4.7841726618704998E-2</v>
      </c>
      <c r="AQ44" s="3" t="s">
        <v>747</v>
      </c>
      <c r="AR44" s="3" t="s">
        <v>748</v>
      </c>
      <c r="AS44" s="3" t="s">
        <v>749</v>
      </c>
      <c r="AT44" s="3" t="s">
        <v>636</v>
      </c>
      <c r="AU44" s="4">
        <v>1</v>
      </c>
      <c r="AV44" s="5">
        <v>0.95020000000000004</v>
      </c>
      <c r="AW44" s="8" t="s">
        <v>750</v>
      </c>
      <c r="AX44" s="6" t="s">
        <v>922</v>
      </c>
    </row>
    <row r="45" spans="1:50" ht="70" hidden="1" x14ac:dyDescent="0.2">
      <c r="A45" s="3" t="s">
        <v>580</v>
      </c>
      <c r="B45" s="3" t="s">
        <v>224</v>
      </c>
      <c r="C45" s="3">
        <v>316869342</v>
      </c>
      <c r="D45" s="3" t="s">
        <v>58</v>
      </c>
      <c r="E45" s="3" t="s">
        <v>46</v>
      </c>
      <c r="F45" s="3" t="s">
        <v>59</v>
      </c>
      <c r="G45" s="3" t="s">
        <v>59</v>
      </c>
      <c r="H45" s="3" t="s">
        <v>382</v>
      </c>
      <c r="I45" s="3" t="s">
        <v>519</v>
      </c>
      <c r="J45" s="20" t="s">
        <v>581</v>
      </c>
      <c r="K45" s="3">
        <v>2.7950310559006201E-2</v>
      </c>
      <c r="L45" s="3">
        <v>322</v>
      </c>
      <c r="M45" s="3">
        <v>-2.43225707971273E-2</v>
      </c>
      <c r="N45" s="20" t="s">
        <v>579</v>
      </c>
      <c r="O45" s="3">
        <v>0.98190350187003805</v>
      </c>
      <c r="P45" s="3">
        <v>337</v>
      </c>
      <c r="Q45" s="3">
        <v>0</v>
      </c>
      <c r="R45" s="3">
        <v>0</v>
      </c>
      <c r="S45" s="3">
        <v>0</v>
      </c>
      <c r="T45" s="3">
        <v>0</v>
      </c>
      <c r="U45" s="3">
        <v>3</v>
      </c>
      <c r="V45" s="3">
        <v>17</v>
      </c>
      <c r="W45" s="3">
        <v>0</v>
      </c>
      <c r="X45" s="3">
        <v>0</v>
      </c>
      <c r="Y45" s="3">
        <v>0</v>
      </c>
      <c r="Z45" s="3">
        <v>0</v>
      </c>
      <c r="AA45" s="3">
        <v>0</v>
      </c>
      <c r="AB45" s="3">
        <v>8.4033613445378096E-3</v>
      </c>
      <c r="AC45" s="3">
        <v>0</v>
      </c>
      <c r="AD45" s="3">
        <v>0</v>
      </c>
      <c r="AE45" s="3">
        <v>0</v>
      </c>
      <c r="AF45" s="3">
        <v>0.94397759103641499</v>
      </c>
      <c r="AG45" s="3">
        <v>0</v>
      </c>
      <c r="AH45" s="3">
        <v>0</v>
      </c>
      <c r="AI45" s="3">
        <v>4.7619047619047603E-2</v>
      </c>
      <c r="AJ45" s="3">
        <v>0</v>
      </c>
      <c r="AK45" s="3">
        <v>3.22128851540616E-2</v>
      </c>
      <c r="AL45" s="3">
        <v>0.96778711484593805</v>
      </c>
      <c r="AM45" s="3">
        <v>0</v>
      </c>
      <c r="AN45" s="3">
        <v>0</v>
      </c>
      <c r="AO45" s="3">
        <v>2.8571428571428598E-2</v>
      </c>
      <c r="AP45" s="3">
        <v>4.91803278688525E-2</v>
      </c>
      <c r="AQ45" s="3" t="s">
        <v>743</v>
      </c>
      <c r="AR45" s="3" t="s">
        <v>744</v>
      </c>
      <c r="AS45" s="3" t="s">
        <v>913</v>
      </c>
      <c r="AT45" s="3"/>
      <c r="AU45" s="3"/>
      <c r="AV45" s="3"/>
      <c r="AW45" s="8" t="s">
        <v>745</v>
      </c>
      <c r="AX45" s="6" t="s">
        <v>746</v>
      </c>
    </row>
    <row r="46" spans="1:50" hidden="1" x14ac:dyDescent="0.2">
      <c r="A46" s="3" t="s">
        <v>202</v>
      </c>
      <c r="B46" s="3" t="s">
        <v>90</v>
      </c>
      <c r="C46" s="3">
        <v>161464914</v>
      </c>
      <c r="D46" s="3" t="s">
        <v>44</v>
      </c>
      <c r="E46" s="3" t="s">
        <v>45</v>
      </c>
      <c r="F46" s="3" t="s">
        <v>46</v>
      </c>
      <c r="G46" s="3" t="s">
        <v>46</v>
      </c>
      <c r="H46" s="3" t="s">
        <v>117</v>
      </c>
      <c r="I46" s="3" t="s">
        <v>181</v>
      </c>
      <c r="J46" s="20" t="s">
        <v>203</v>
      </c>
      <c r="K46" s="3">
        <v>5.8962264150943397E-2</v>
      </c>
      <c r="L46" s="3">
        <v>424</v>
      </c>
      <c r="M46" s="3">
        <v>1.1873530668943E-2</v>
      </c>
      <c r="N46" s="3">
        <v>4.2395851597561299E-3</v>
      </c>
      <c r="O46" s="3">
        <v>0.94747468372533905</v>
      </c>
      <c r="P46" s="3">
        <v>25</v>
      </c>
      <c r="Q46" s="3">
        <v>0</v>
      </c>
      <c r="R46" s="3">
        <v>0</v>
      </c>
      <c r="S46" s="3">
        <v>146</v>
      </c>
      <c r="T46" s="3">
        <v>258</v>
      </c>
      <c r="U46" s="3">
        <v>0</v>
      </c>
      <c r="V46" s="3">
        <v>0</v>
      </c>
      <c r="W46" s="3">
        <v>0</v>
      </c>
      <c r="X46" s="3">
        <v>0</v>
      </c>
      <c r="Y46" s="3">
        <v>0</v>
      </c>
      <c r="Z46" s="3">
        <v>0</v>
      </c>
      <c r="AA46" s="3">
        <v>0.60139860139860102</v>
      </c>
      <c r="AB46" s="3">
        <v>0</v>
      </c>
      <c r="AC46" s="3">
        <v>0</v>
      </c>
      <c r="AD46" s="3">
        <v>0</v>
      </c>
      <c r="AE46" s="3">
        <v>0</v>
      </c>
      <c r="AF46" s="3">
        <v>5.82750582750583E-2</v>
      </c>
      <c r="AG46" s="3">
        <v>0.34032634032634002</v>
      </c>
      <c r="AH46" s="3">
        <v>0</v>
      </c>
      <c r="AI46" s="3">
        <v>0</v>
      </c>
      <c r="AJ46" s="3">
        <v>0</v>
      </c>
      <c r="AK46" s="3">
        <v>0</v>
      </c>
      <c r="AL46" s="3">
        <v>0.228438228438228</v>
      </c>
      <c r="AM46" s="3">
        <v>0.77156177156177197</v>
      </c>
      <c r="AN46" s="3">
        <v>0.18328681046799999</v>
      </c>
      <c r="AO46" s="3">
        <v>0.188499615516552</v>
      </c>
      <c r="AP46" s="3">
        <v>0.18319369609960601</v>
      </c>
      <c r="AQ46" s="3"/>
      <c r="AR46" s="3"/>
      <c r="AS46" s="3"/>
      <c r="AT46" s="3"/>
      <c r="AU46" s="3"/>
      <c r="AV46" s="3"/>
      <c r="AW46" s="6"/>
      <c r="AX46" s="6"/>
    </row>
    <row r="47" spans="1:50" hidden="1" x14ac:dyDescent="0.2">
      <c r="A47" s="3" t="s">
        <v>195</v>
      </c>
      <c r="B47" s="3" t="s">
        <v>70</v>
      </c>
      <c r="C47" s="3">
        <v>397077923</v>
      </c>
      <c r="D47" s="3" t="s">
        <v>67</v>
      </c>
      <c r="E47" s="3" t="s">
        <v>53</v>
      </c>
      <c r="F47" s="3" t="s">
        <v>46</v>
      </c>
      <c r="G47" s="3" t="s">
        <v>46</v>
      </c>
      <c r="H47" s="3" t="s">
        <v>142</v>
      </c>
      <c r="I47" s="3" t="s">
        <v>181</v>
      </c>
      <c r="J47" s="20" t="s">
        <v>196</v>
      </c>
      <c r="K47" s="3">
        <v>7.0921985815602896E-3</v>
      </c>
      <c r="L47" s="3">
        <v>423</v>
      </c>
      <c r="M47" s="3">
        <v>-0.70634333780841996</v>
      </c>
      <c r="N47" s="3">
        <v>2.83868832648713E-4</v>
      </c>
      <c r="O47" s="3">
        <v>0.81724332015852097</v>
      </c>
      <c r="P47" s="3">
        <v>1</v>
      </c>
      <c r="Q47" s="3">
        <v>98</v>
      </c>
      <c r="R47" s="3">
        <v>330</v>
      </c>
      <c r="S47" s="3">
        <v>0</v>
      </c>
      <c r="T47" s="3">
        <v>0</v>
      </c>
      <c r="U47" s="3">
        <v>0</v>
      </c>
      <c r="V47" s="3">
        <v>0</v>
      </c>
      <c r="W47" s="3">
        <v>0</v>
      </c>
      <c r="X47" s="3">
        <v>0</v>
      </c>
      <c r="Y47" s="3">
        <v>0</v>
      </c>
      <c r="Z47" s="3">
        <v>0</v>
      </c>
      <c r="AA47" s="3">
        <v>0</v>
      </c>
      <c r="AB47" s="3">
        <v>0</v>
      </c>
      <c r="AC47" s="3">
        <v>0</v>
      </c>
      <c r="AD47" s="3">
        <v>0.76923076923076905</v>
      </c>
      <c r="AE47" s="3">
        <v>0.228438228438228</v>
      </c>
      <c r="AF47" s="3">
        <v>2.3310023310023301E-3</v>
      </c>
      <c r="AG47" s="3">
        <v>0</v>
      </c>
      <c r="AH47" s="3">
        <v>0</v>
      </c>
      <c r="AI47" s="3">
        <v>0</v>
      </c>
      <c r="AJ47" s="3">
        <v>0.88344988344988395</v>
      </c>
      <c r="AK47" s="3">
        <v>0</v>
      </c>
      <c r="AL47" s="3">
        <v>0.116550116550117</v>
      </c>
      <c r="AM47" s="3">
        <v>0</v>
      </c>
      <c r="AN47" s="3">
        <v>0.2</v>
      </c>
      <c r="AO47" s="3">
        <v>0.28125</v>
      </c>
      <c r="AP47" s="3">
        <v>0.27730061349693302</v>
      </c>
      <c r="AQ47" s="3" t="s">
        <v>914</v>
      </c>
      <c r="AR47" s="3"/>
      <c r="AS47" s="3" t="s">
        <v>635</v>
      </c>
      <c r="AT47" s="3" t="s">
        <v>636</v>
      </c>
      <c r="AU47" s="4">
        <v>1</v>
      </c>
      <c r="AV47" s="5">
        <v>0.82299999999999995</v>
      </c>
      <c r="AW47" s="6"/>
      <c r="AX47" s="6"/>
    </row>
    <row r="48" spans="1:50" ht="56" hidden="1" x14ac:dyDescent="0.2">
      <c r="A48" s="3" t="s">
        <v>104</v>
      </c>
      <c r="B48" s="3" t="s">
        <v>105</v>
      </c>
      <c r="C48" s="3">
        <v>83112789</v>
      </c>
      <c r="D48" s="3" t="s">
        <v>71</v>
      </c>
      <c r="E48" s="3" t="s">
        <v>45</v>
      </c>
      <c r="F48" s="3" t="s">
        <v>59</v>
      </c>
      <c r="G48" s="3" t="s">
        <v>59</v>
      </c>
      <c r="H48" s="3" t="s">
        <v>86</v>
      </c>
      <c r="I48" s="3" t="s">
        <v>48</v>
      </c>
      <c r="J48" s="20" t="s">
        <v>106</v>
      </c>
      <c r="K48" s="3">
        <v>2.6455026455026701E-3</v>
      </c>
      <c r="L48" s="3">
        <v>378</v>
      </c>
      <c r="M48" s="3">
        <v>-1.5559514059817201</v>
      </c>
      <c r="N48" s="3">
        <v>9.0623956096628003E-4</v>
      </c>
      <c r="O48" s="3">
        <v>0.74374661024706101</v>
      </c>
      <c r="P48" s="3">
        <v>0</v>
      </c>
      <c r="Q48" s="3">
        <v>0</v>
      </c>
      <c r="R48" s="3">
        <v>0</v>
      </c>
      <c r="S48" s="3">
        <v>0</v>
      </c>
      <c r="T48" s="3">
        <v>410</v>
      </c>
      <c r="U48" s="3">
        <v>0</v>
      </c>
      <c r="V48" s="3">
        <v>0</v>
      </c>
      <c r="W48" s="3">
        <v>19</v>
      </c>
      <c r="X48" s="3">
        <v>0</v>
      </c>
      <c r="Y48" s="3">
        <v>0</v>
      </c>
      <c r="Z48" s="3">
        <v>4.4289044289044302E-2</v>
      </c>
      <c r="AA48" s="3">
        <v>0.95571095571095599</v>
      </c>
      <c r="AB48" s="3">
        <v>0</v>
      </c>
      <c r="AC48" s="3">
        <v>0</v>
      </c>
      <c r="AD48" s="3">
        <v>0</v>
      </c>
      <c r="AE48" s="3">
        <v>0</v>
      </c>
      <c r="AF48" s="3">
        <v>0</v>
      </c>
      <c r="AG48" s="3">
        <v>0</v>
      </c>
      <c r="AH48" s="3">
        <v>0</v>
      </c>
      <c r="AI48" s="3">
        <v>0</v>
      </c>
      <c r="AJ48" s="3">
        <v>0</v>
      </c>
      <c r="AK48" s="3">
        <v>2.2144522144522099E-2</v>
      </c>
      <c r="AL48" s="3">
        <v>0</v>
      </c>
      <c r="AM48" s="3">
        <v>0.97785547785547799</v>
      </c>
      <c r="AN48" s="3" t="s">
        <v>55</v>
      </c>
      <c r="AO48" s="3">
        <v>0.33124999999999999</v>
      </c>
      <c r="AP48" s="3">
        <v>0.53674033149171296</v>
      </c>
      <c r="AQ48" s="3" t="s">
        <v>659</v>
      </c>
      <c r="AR48" s="3" t="s">
        <v>660</v>
      </c>
      <c r="AS48" s="3" t="s">
        <v>913</v>
      </c>
      <c r="AT48" s="3"/>
      <c r="AU48" s="3"/>
      <c r="AV48" s="3"/>
      <c r="AW48" s="8" t="s">
        <v>661</v>
      </c>
      <c r="AX48" s="6" t="s">
        <v>662</v>
      </c>
    </row>
    <row r="49" spans="1:50" ht="182" hidden="1" x14ac:dyDescent="0.2">
      <c r="A49" s="3" t="s">
        <v>336</v>
      </c>
      <c r="B49" s="3" t="s">
        <v>57</v>
      </c>
      <c r="C49" s="3">
        <v>302994249</v>
      </c>
      <c r="D49" s="3" t="s">
        <v>109</v>
      </c>
      <c r="E49" s="3" t="s">
        <v>59</v>
      </c>
      <c r="F49" s="3" t="s">
        <v>45</v>
      </c>
      <c r="G49" s="3" t="s">
        <v>45</v>
      </c>
      <c r="H49" s="3" t="s">
        <v>337</v>
      </c>
      <c r="I49" s="3" t="s">
        <v>338</v>
      </c>
      <c r="J49" s="20" t="s">
        <v>339</v>
      </c>
      <c r="K49" s="3">
        <v>3.7878787878787802E-3</v>
      </c>
      <c r="L49" s="3">
        <v>264</v>
      </c>
      <c r="M49" s="3">
        <v>27.894130844542801</v>
      </c>
      <c r="N49" s="20" t="s">
        <v>340</v>
      </c>
      <c r="O49" s="3">
        <v>0.65135688288481397</v>
      </c>
      <c r="P49" s="3">
        <v>0</v>
      </c>
      <c r="Q49" s="3">
        <v>0</v>
      </c>
      <c r="R49" s="3">
        <v>0</v>
      </c>
      <c r="S49" s="3">
        <v>0</v>
      </c>
      <c r="T49" s="3">
        <v>0</v>
      </c>
      <c r="U49" s="3">
        <v>364</v>
      </c>
      <c r="V49" s="3">
        <v>0</v>
      </c>
      <c r="W49" s="3">
        <v>0</v>
      </c>
      <c r="X49" s="3">
        <v>0</v>
      </c>
      <c r="Y49" s="3">
        <v>0</v>
      </c>
      <c r="Z49" s="3">
        <v>0</v>
      </c>
      <c r="AA49" s="3">
        <v>0</v>
      </c>
      <c r="AB49" s="3">
        <v>1</v>
      </c>
      <c r="AC49" s="3">
        <v>0</v>
      </c>
      <c r="AD49" s="3">
        <v>0</v>
      </c>
      <c r="AE49" s="3">
        <v>0</v>
      </c>
      <c r="AF49" s="3">
        <v>0</v>
      </c>
      <c r="AG49" s="3">
        <v>0</v>
      </c>
      <c r="AH49" s="3">
        <v>0</v>
      </c>
      <c r="AI49" s="3">
        <v>0</v>
      </c>
      <c r="AJ49" s="3">
        <v>0</v>
      </c>
      <c r="AK49" s="3">
        <v>1</v>
      </c>
      <c r="AL49" s="3">
        <v>0</v>
      </c>
      <c r="AM49" s="3">
        <v>0</v>
      </c>
      <c r="AN49" s="3" t="s">
        <v>55</v>
      </c>
      <c r="AO49" s="3" t="s">
        <v>55</v>
      </c>
      <c r="AP49" s="3">
        <v>93.980634262500004</v>
      </c>
      <c r="AQ49" s="3" t="s">
        <v>721</v>
      </c>
      <c r="AR49" s="3" t="s">
        <v>722</v>
      </c>
      <c r="AS49" s="3" t="s">
        <v>723</v>
      </c>
      <c r="AT49" s="3" t="s">
        <v>636</v>
      </c>
      <c r="AU49" s="4">
        <v>0.97</v>
      </c>
      <c r="AV49" s="5">
        <v>0.88319999999999999</v>
      </c>
      <c r="AW49" s="8" t="s">
        <v>724</v>
      </c>
      <c r="AX49" s="6" t="s">
        <v>920</v>
      </c>
    </row>
    <row r="50" spans="1:50" hidden="1" x14ac:dyDescent="0.2">
      <c r="A50" s="3" t="s">
        <v>231</v>
      </c>
      <c r="B50" s="3" t="s">
        <v>74</v>
      </c>
      <c r="C50" s="3">
        <v>448933298</v>
      </c>
      <c r="D50" s="3" t="s">
        <v>52</v>
      </c>
      <c r="E50" s="3" t="s">
        <v>46</v>
      </c>
      <c r="F50" s="3" t="s">
        <v>53</v>
      </c>
      <c r="G50" s="3" t="s">
        <v>53</v>
      </c>
      <c r="H50" s="3" t="s">
        <v>214</v>
      </c>
      <c r="I50" s="3" t="s">
        <v>181</v>
      </c>
      <c r="J50" s="20" t="s">
        <v>232</v>
      </c>
      <c r="K50" s="3">
        <v>1.1792452830188299E-3</v>
      </c>
      <c r="L50" s="3">
        <v>424</v>
      </c>
      <c r="M50" s="3">
        <v>8.5226396246548592</v>
      </c>
      <c r="N50" s="3">
        <v>6.85698612460592E-4</v>
      </c>
      <c r="O50" s="3">
        <v>0.603471828534072</v>
      </c>
      <c r="P50" s="3">
        <v>397</v>
      </c>
      <c r="Q50" s="3">
        <v>29</v>
      </c>
      <c r="R50" s="3">
        <v>3</v>
      </c>
      <c r="S50" s="3">
        <v>0</v>
      </c>
      <c r="T50" s="3">
        <v>0</v>
      </c>
      <c r="U50" s="3">
        <v>0</v>
      </c>
      <c r="V50" s="3">
        <v>0</v>
      </c>
      <c r="W50" s="3">
        <v>0</v>
      </c>
      <c r="X50" s="3">
        <v>0</v>
      </c>
      <c r="Y50" s="3">
        <v>0</v>
      </c>
      <c r="Z50" s="3">
        <v>0</v>
      </c>
      <c r="AA50" s="3">
        <v>0</v>
      </c>
      <c r="AB50" s="3">
        <v>0</v>
      </c>
      <c r="AC50" s="3">
        <v>0</v>
      </c>
      <c r="AD50" s="3">
        <v>6.9930069930069904E-3</v>
      </c>
      <c r="AE50" s="3">
        <v>6.75990675990676E-2</v>
      </c>
      <c r="AF50" s="3">
        <v>0.92540792540792505</v>
      </c>
      <c r="AG50" s="3">
        <v>0</v>
      </c>
      <c r="AH50" s="3">
        <v>0</v>
      </c>
      <c r="AI50" s="3">
        <v>0</v>
      </c>
      <c r="AJ50" s="3">
        <v>4.0792540792540799E-2</v>
      </c>
      <c r="AK50" s="3">
        <v>0</v>
      </c>
      <c r="AL50" s="3">
        <v>0.95920745920745898</v>
      </c>
      <c r="AM50" s="3">
        <v>0</v>
      </c>
      <c r="AN50" s="3">
        <v>72.3333333333333</v>
      </c>
      <c r="AO50" s="3">
        <v>72.428571428571402</v>
      </c>
      <c r="AP50" s="3">
        <v>72.236641221374001</v>
      </c>
      <c r="AQ50" s="3"/>
      <c r="AR50" s="3"/>
      <c r="AS50" s="3"/>
      <c r="AT50" s="3"/>
      <c r="AU50" s="3"/>
      <c r="AV50" s="3"/>
      <c r="AW50" s="6"/>
      <c r="AX50" s="6"/>
    </row>
    <row r="51" spans="1:50" hidden="1" x14ac:dyDescent="0.2">
      <c r="A51" s="3" t="s">
        <v>132</v>
      </c>
      <c r="B51" s="3" t="s">
        <v>70</v>
      </c>
      <c r="C51" s="3">
        <v>384868013</v>
      </c>
      <c r="D51" s="3" t="s">
        <v>109</v>
      </c>
      <c r="E51" s="3" t="s">
        <v>59</v>
      </c>
      <c r="F51" s="3" t="s">
        <v>45</v>
      </c>
      <c r="G51" s="3" t="s">
        <v>45</v>
      </c>
      <c r="H51" s="3" t="s">
        <v>117</v>
      </c>
      <c r="I51" s="3" t="s">
        <v>48</v>
      </c>
      <c r="J51" s="20" t="s">
        <v>133</v>
      </c>
      <c r="K51" s="3">
        <v>4.0572792362768499E-2</v>
      </c>
      <c r="L51" s="3">
        <v>419</v>
      </c>
      <c r="M51" s="3">
        <v>-0.16595067985443901</v>
      </c>
      <c r="N51" s="3">
        <v>1.40211565274722E-4</v>
      </c>
      <c r="O51" s="3">
        <v>0.55633208333815198</v>
      </c>
      <c r="P51" s="3">
        <v>0</v>
      </c>
      <c r="Q51" s="3">
        <v>0</v>
      </c>
      <c r="R51" s="3">
        <v>0</v>
      </c>
      <c r="S51" s="3">
        <v>0</v>
      </c>
      <c r="T51" s="3">
        <v>0</v>
      </c>
      <c r="U51" s="3">
        <v>422</v>
      </c>
      <c r="V51" s="3">
        <v>0</v>
      </c>
      <c r="W51" s="3">
        <v>7</v>
      </c>
      <c r="X51" s="3">
        <v>0</v>
      </c>
      <c r="Y51" s="3">
        <v>0</v>
      </c>
      <c r="Z51" s="3">
        <v>1.6317016317016299E-2</v>
      </c>
      <c r="AA51" s="3">
        <v>0</v>
      </c>
      <c r="AB51" s="3">
        <v>0.98368298368298401</v>
      </c>
      <c r="AC51" s="3">
        <v>0</v>
      </c>
      <c r="AD51" s="3">
        <v>0</v>
      </c>
      <c r="AE51" s="3">
        <v>0</v>
      </c>
      <c r="AF51" s="3">
        <v>0</v>
      </c>
      <c r="AG51" s="3">
        <v>0</v>
      </c>
      <c r="AH51" s="3">
        <v>0</v>
      </c>
      <c r="AI51" s="3">
        <v>0</v>
      </c>
      <c r="AJ51" s="3">
        <v>0</v>
      </c>
      <c r="AK51" s="3">
        <v>0.99184149184149195</v>
      </c>
      <c r="AL51" s="3">
        <v>0</v>
      </c>
      <c r="AM51" s="3">
        <v>8.1585081585081598E-3</v>
      </c>
      <c r="AN51" s="3" t="s">
        <v>55</v>
      </c>
      <c r="AO51" s="3">
        <v>3.3333333333333298E-2</v>
      </c>
      <c r="AP51" s="3">
        <v>0.137046004842615</v>
      </c>
      <c r="AQ51" s="3" t="s">
        <v>792</v>
      </c>
      <c r="AR51" s="3" t="s">
        <v>635</v>
      </c>
      <c r="AS51" s="3" t="s">
        <v>635</v>
      </c>
      <c r="AT51" s="3" t="s">
        <v>636</v>
      </c>
      <c r="AU51" s="4">
        <v>1</v>
      </c>
      <c r="AV51" s="5">
        <v>0.88239999999999996</v>
      </c>
      <c r="AW51" s="6"/>
      <c r="AX51" s="6"/>
    </row>
    <row r="52" spans="1:50" hidden="1" x14ac:dyDescent="0.2">
      <c r="A52" s="3" t="s">
        <v>603</v>
      </c>
      <c r="B52" s="3" t="s">
        <v>160</v>
      </c>
      <c r="C52" s="3">
        <v>373032805</v>
      </c>
      <c r="D52" s="3" t="s">
        <v>52</v>
      </c>
      <c r="E52" s="3" t="s">
        <v>46</v>
      </c>
      <c r="F52" s="3" t="s">
        <v>53</v>
      </c>
      <c r="G52" s="3" t="s">
        <v>53</v>
      </c>
      <c r="H52" s="3" t="s">
        <v>408</v>
      </c>
      <c r="I52" s="3" t="s">
        <v>519</v>
      </c>
      <c r="J52" s="20" t="s">
        <v>604</v>
      </c>
      <c r="K52" s="3">
        <v>1.3803680981595101E-2</v>
      </c>
      <c r="L52" s="3">
        <v>326</v>
      </c>
      <c r="M52" s="3">
        <v>-16.0782874261104</v>
      </c>
      <c r="N52" s="20" t="s">
        <v>605</v>
      </c>
      <c r="O52" s="3">
        <v>0.54991025095815305</v>
      </c>
      <c r="P52" s="3">
        <v>168</v>
      </c>
      <c r="Q52" s="3">
        <v>148</v>
      </c>
      <c r="R52" s="3">
        <v>41</v>
      </c>
      <c r="S52" s="3">
        <v>0</v>
      </c>
      <c r="T52" s="3">
        <v>0</v>
      </c>
      <c r="U52" s="3">
        <v>0</v>
      </c>
      <c r="V52" s="3">
        <v>0</v>
      </c>
      <c r="W52" s="3">
        <v>0</v>
      </c>
      <c r="X52" s="3">
        <v>0</v>
      </c>
      <c r="Y52" s="3">
        <v>0</v>
      </c>
      <c r="Z52" s="3">
        <v>0</v>
      </c>
      <c r="AA52" s="3">
        <v>0</v>
      </c>
      <c r="AB52" s="3">
        <v>0</v>
      </c>
      <c r="AC52" s="3">
        <v>0</v>
      </c>
      <c r="AD52" s="3">
        <v>0.11484593837535</v>
      </c>
      <c r="AE52" s="3">
        <v>0.41456582633053202</v>
      </c>
      <c r="AF52" s="3">
        <v>0.47058823529411797</v>
      </c>
      <c r="AG52" s="3">
        <v>0</v>
      </c>
      <c r="AH52" s="3">
        <v>0</v>
      </c>
      <c r="AI52" s="3">
        <v>0</v>
      </c>
      <c r="AJ52" s="3">
        <v>0.32212885154061599</v>
      </c>
      <c r="AK52" s="3">
        <v>0</v>
      </c>
      <c r="AL52" s="3">
        <v>0.67787114845938401</v>
      </c>
      <c r="AM52" s="3">
        <v>0</v>
      </c>
      <c r="AN52" s="3">
        <v>11</v>
      </c>
      <c r="AO52" s="3">
        <v>11.5401459854015</v>
      </c>
      <c r="AP52" s="3">
        <v>11.261744966443</v>
      </c>
      <c r="AQ52" s="3"/>
      <c r="AR52" s="3"/>
      <c r="AS52" s="3"/>
      <c r="AT52" s="3"/>
      <c r="AU52" s="3"/>
      <c r="AV52" s="3"/>
      <c r="AW52" s="6"/>
      <c r="AX52" s="6"/>
    </row>
    <row r="53" spans="1:50" hidden="1" x14ac:dyDescent="0.2">
      <c r="A53" s="3" t="s">
        <v>356</v>
      </c>
      <c r="B53" s="3" t="s">
        <v>160</v>
      </c>
      <c r="C53" s="3">
        <v>260252102</v>
      </c>
      <c r="D53" s="3" t="s">
        <v>127</v>
      </c>
      <c r="E53" s="3" t="s">
        <v>45</v>
      </c>
      <c r="F53" s="3" t="s">
        <v>53</v>
      </c>
      <c r="G53" s="3" t="s">
        <v>53</v>
      </c>
      <c r="H53" s="3" t="s">
        <v>86</v>
      </c>
      <c r="I53" s="3" t="s">
        <v>338</v>
      </c>
      <c r="J53" s="20" t="s">
        <v>357</v>
      </c>
      <c r="K53" s="3">
        <v>4.8076923076922897E-3</v>
      </c>
      <c r="L53" s="3">
        <v>312</v>
      </c>
      <c r="M53" s="3">
        <v>-69.769718118503107</v>
      </c>
      <c r="N53" s="20" t="s">
        <v>358</v>
      </c>
      <c r="O53" s="3">
        <v>0.528100979866586</v>
      </c>
      <c r="P53" s="3">
        <v>0</v>
      </c>
      <c r="Q53" s="3">
        <v>0</v>
      </c>
      <c r="R53" s="3">
        <v>0</v>
      </c>
      <c r="S53" s="3">
        <v>0</v>
      </c>
      <c r="T53" s="3">
        <v>364</v>
      </c>
      <c r="U53" s="3">
        <v>0</v>
      </c>
      <c r="V53" s="3">
        <v>0</v>
      </c>
      <c r="W53" s="3">
        <v>0</v>
      </c>
      <c r="X53" s="3">
        <v>0</v>
      </c>
      <c r="Y53" s="3">
        <v>0</v>
      </c>
      <c r="Z53" s="3">
        <v>0</v>
      </c>
      <c r="AA53" s="3">
        <v>1</v>
      </c>
      <c r="AB53" s="3">
        <v>0</v>
      </c>
      <c r="AC53" s="3">
        <v>0</v>
      </c>
      <c r="AD53" s="3">
        <v>0</v>
      </c>
      <c r="AE53" s="3">
        <v>0</v>
      </c>
      <c r="AF53" s="3">
        <v>0</v>
      </c>
      <c r="AG53" s="3">
        <v>0</v>
      </c>
      <c r="AH53" s="3">
        <v>0</v>
      </c>
      <c r="AI53" s="3">
        <v>0</v>
      </c>
      <c r="AJ53" s="3">
        <v>0</v>
      </c>
      <c r="AK53" s="3">
        <v>0</v>
      </c>
      <c r="AL53" s="3">
        <v>0</v>
      </c>
      <c r="AM53" s="3">
        <v>1</v>
      </c>
      <c r="AN53" s="3" t="s">
        <v>55</v>
      </c>
      <c r="AO53" s="3" t="s">
        <v>55</v>
      </c>
      <c r="AP53" s="3">
        <v>19.4016025641026</v>
      </c>
      <c r="AQ53" s="3"/>
      <c r="AR53" s="3"/>
      <c r="AS53" s="3"/>
      <c r="AT53" s="3"/>
      <c r="AU53" s="3"/>
      <c r="AV53" s="3"/>
      <c r="AW53" s="6"/>
      <c r="AX53" s="6"/>
    </row>
    <row r="54" spans="1:50" hidden="1" x14ac:dyDescent="0.2">
      <c r="A54" s="3" t="s">
        <v>510</v>
      </c>
      <c r="B54" s="3" t="s">
        <v>152</v>
      </c>
      <c r="C54" s="3">
        <v>538240241</v>
      </c>
      <c r="D54" s="3" t="s">
        <v>71</v>
      </c>
      <c r="E54" s="3" t="s">
        <v>59</v>
      </c>
      <c r="F54" s="3" t="s">
        <v>45</v>
      </c>
      <c r="G54" s="3" t="s">
        <v>59</v>
      </c>
      <c r="H54" s="3" t="s">
        <v>173</v>
      </c>
      <c r="I54" s="3" t="s">
        <v>432</v>
      </c>
      <c r="J54" s="20" t="s">
        <v>511</v>
      </c>
      <c r="K54" s="3">
        <v>0.36464968152866201</v>
      </c>
      <c r="L54" s="3">
        <v>314</v>
      </c>
      <c r="M54" s="3">
        <v>6.5428468887531599</v>
      </c>
      <c r="N54" s="3">
        <v>2.7554980299120701E-3</v>
      </c>
      <c r="O54" s="3">
        <v>0.52166596932213705</v>
      </c>
      <c r="P54" s="3">
        <v>0</v>
      </c>
      <c r="Q54" s="3">
        <v>0</v>
      </c>
      <c r="R54" s="3">
        <v>0</v>
      </c>
      <c r="S54" s="3">
        <v>0</v>
      </c>
      <c r="T54" s="3">
        <v>348</v>
      </c>
      <c r="U54" s="3">
        <v>1</v>
      </c>
      <c r="V54" s="3">
        <v>0</v>
      </c>
      <c r="W54" s="3">
        <v>8</v>
      </c>
      <c r="X54" s="3">
        <v>0</v>
      </c>
      <c r="Y54" s="3">
        <v>0</v>
      </c>
      <c r="Z54" s="3">
        <v>2.2408963585434202E-2</v>
      </c>
      <c r="AA54" s="3">
        <v>0.97478991596638698</v>
      </c>
      <c r="AB54" s="3">
        <v>2.80112044817927E-3</v>
      </c>
      <c r="AC54" s="3">
        <v>0</v>
      </c>
      <c r="AD54" s="3">
        <v>0</v>
      </c>
      <c r="AE54" s="3">
        <v>0</v>
      </c>
      <c r="AF54" s="3">
        <v>0</v>
      </c>
      <c r="AG54" s="3">
        <v>0</v>
      </c>
      <c r="AH54" s="3">
        <v>0</v>
      </c>
      <c r="AI54" s="3">
        <v>0</v>
      </c>
      <c r="AJ54" s="3">
        <v>0</v>
      </c>
      <c r="AK54" s="3">
        <v>1.4005602240896401E-2</v>
      </c>
      <c r="AL54" s="3">
        <v>0</v>
      </c>
      <c r="AM54" s="3">
        <v>0.98599439775910402</v>
      </c>
      <c r="AN54" s="3">
        <v>118</v>
      </c>
      <c r="AO54" s="3">
        <v>110</v>
      </c>
      <c r="AP54" s="3">
        <v>110.794117647059</v>
      </c>
      <c r="AQ54" s="3"/>
      <c r="AR54" s="3"/>
      <c r="AS54" s="3"/>
      <c r="AT54" s="3"/>
      <c r="AU54" s="3"/>
      <c r="AV54" s="3"/>
      <c r="AW54" s="6"/>
      <c r="AX54" s="6"/>
    </row>
    <row r="55" spans="1:50" hidden="1" x14ac:dyDescent="0.2">
      <c r="A55" s="3" t="s">
        <v>277</v>
      </c>
      <c r="B55" s="3" t="s">
        <v>108</v>
      </c>
      <c r="C55" s="3">
        <v>342354337</v>
      </c>
      <c r="D55" s="3" t="s">
        <v>71</v>
      </c>
      <c r="E55" s="3" t="s">
        <v>45</v>
      </c>
      <c r="F55" s="3" t="s">
        <v>59</v>
      </c>
      <c r="G55" s="3" t="s">
        <v>59</v>
      </c>
      <c r="H55" s="3" t="s">
        <v>262</v>
      </c>
      <c r="I55" s="3" t="s">
        <v>259</v>
      </c>
      <c r="J55" s="20" t="s">
        <v>278</v>
      </c>
      <c r="K55" s="3">
        <v>0.25270270270270301</v>
      </c>
      <c r="L55" s="3">
        <v>370</v>
      </c>
      <c r="M55" s="3">
        <v>-1.02933073736636</v>
      </c>
      <c r="N55" s="20" t="s">
        <v>279</v>
      </c>
      <c r="O55" s="3">
        <v>0.50768253526915397</v>
      </c>
      <c r="P55" s="3">
        <v>0</v>
      </c>
      <c r="Q55" s="3">
        <v>0</v>
      </c>
      <c r="R55" s="3">
        <v>0</v>
      </c>
      <c r="S55" s="3">
        <v>0</v>
      </c>
      <c r="T55" s="3">
        <v>378</v>
      </c>
      <c r="U55" s="3">
        <v>1</v>
      </c>
      <c r="V55" s="3">
        <v>0</v>
      </c>
      <c r="W55" s="3">
        <v>50</v>
      </c>
      <c r="X55" s="3">
        <v>0</v>
      </c>
      <c r="Y55" s="3">
        <v>0</v>
      </c>
      <c r="Z55" s="3">
        <v>0.116550116550117</v>
      </c>
      <c r="AA55" s="3">
        <v>0.88111888111888104</v>
      </c>
      <c r="AB55" s="3">
        <v>2.3310023310023301E-3</v>
      </c>
      <c r="AC55" s="3">
        <v>0</v>
      </c>
      <c r="AD55" s="3">
        <v>0</v>
      </c>
      <c r="AE55" s="3">
        <v>0</v>
      </c>
      <c r="AF55" s="3">
        <v>0</v>
      </c>
      <c r="AG55" s="3">
        <v>0</v>
      </c>
      <c r="AH55" s="3">
        <v>0</v>
      </c>
      <c r="AI55" s="3">
        <v>0</v>
      </c>
      <c r="AJ55" s="3">
        <v>0</v>
      </c>
      <c r="AK55" s="3">
        <v>6.0606060606060601E-2</v>
      </c>
      <c r="AL55" s="3">
        <v>0</v>
      </c>
      <c r="AM55" s="3">
        <v>0.93939393939394</v>
      </c>
      <c r="AN55" s="3">
        <v>25.2</v>
      </c>
      <c r="AO55" s="3">
        <v>23.995833333333302</v>
      </c>
      <c r="AP55" s="3">
        <v>23.6076323987539</v>
      </c>
      <c r="AQ55" s="3" t="s">
        <v>914</v>
      </c>
      <c r="AR55" s="3"/>
      <c r="AS55" s="3" t="s">
        <v>865</v>
      </c>
      <c r="AT55" s="3" t="s">
        <v>636</v>
      </c>
      <c r="AU55" s="4">
        <v>0.98</v>
      </c>
      <c r="AV55" s="5">
        <v>0.94920000000000004</v>
      </c>
      <c r="AW55" s="6"/>
      <c r="AX55" s="6"/>
    </row>
    <row r="56" spans="1:50" ht="98" hidden="1" x14ac:dyDescent="0.2">
      <c r="A56" s="3" t="s">
        <v>264</v>
      </c>
      <c r="B56" s="3" t="s">
        <v>138</v>
      </c>
      <c r="C56" s="3">
        <v>443970274</v>
      </c>
      <c r="D56" s="3" t="s">
        <v>71</v>
      </c>
      <c r="E56" s="3" t="s">
        <v>45</v>
      </c>
      <c r="F56" s="3" t="s">
        <v>59</v>
      </c>
      <c r="G56" s="3" t="s">
        <v>59</v>
      </c>
      <c r="H56" s="3" t="s">
        <v>262</v>
      </c>
      <c r="I56" s="3" t="s">
        <v>259</v>
      </c>
      <c r="J56" s="20" t="s">
        <v>265</v>
      </c>
      <c r="K56" s="3">
        <v>0.116216216216216</v>
      </c>
      <c r="L56" s="3">
        <v>370</v>
      </c>
      <c r="M56" s="3">
        <v>1.0117838202435101</v>
      </c>
      <c r="N56" s="3">
        <v>3.9971401682240802E-3</v>
      </c>
      <c r="O56" s="3">
        <v>0.49257186363903099</v>
      </c>
      <c r="P56" s="3">
        <v>0</v>
      </c>
      <c r="Q56" s="3">
        <v>0</v>
      </c>
      <c r="R56" s="3">
        <v>0</v>
      </c>
      <c r="S56" s="3">
        <v>0</v>
      </c>
      <c r="T56" s="3">
        <v>112</v>
      </c>
      <c r="U56" s="3">
        <v>87</v>
      </c>
      <c r="V56" s="3">
        <v>0</v>
      </c>
      <c r="W56" s="3">
        <v>230</v>
      </c>
      <c r="X56" s="3">
        <v>0</v>
      </c>
      <c r="Y56" s="3">
        <v>0</v>
      </c>
      <c r="Z56" s="3">
        <v>0.53613053613053596</v>
      </c>
      <c r="AA56" s="3">
        <v>0.261072261072261</v>
      </c>
      <c r="AB56" s="3">
        <v>0.20279720279720301</v>
      </c>
      <c r="AC56" s="3">
        <v>0</v>
      </c>
      <c r="AD56" s="3">
        <v>0</v>
      </c>
      <c r="AE56" s="3">
        <v>0</v>
      </c>
      <c r="AF56" s="3">
        <v>0</v>
      </c>
      <c r="AG56" s="3">
        <v>0</v>
      </c>
      <c r="AH56" s="3">
        <v>0</v>
      </c>
      <c r="AI56" s="3">
        <v>0</v>
      </c>
      <c r="AJ56" s="3">
        <v>0</v>
      </c>
      <c r="AK56" s="3">
        <v>0.47086247086247102</v>
      </c>
      <c r="AL56" s="3">
        <v>0</v>
      </c>
      <c r="AM56" s="3">
        <v>0.52913752913752898</v>
      </c>
      <c r="AN56" s="3">
        <v>23.686708860759499</v>
      </c>
      <c r="AO56" s="3">
        <v>23.560621761657998</v>
      </c>
      <c r="AP56" s="3">
        <v>23.842857142857099</v>
      </c>
      <c r="AQ56" s="3" t="s">
        <v>848</v>
      </c>
      <c r="AR56" s="3" t="s">
        <v>849</v>
      </c>
      <c r="AS56" s="3" t="s">
        <v>850</v>
      </c>
      <c r="AT56" s="3" t="s">
        <v>636</v>
      </c>
      <c r="AU56" s="4">
        <v>0.59</v>
      </c>
      <c r="AV56" s="4">
        <v>1</v>
      </c>
      <c r="AW56" s="10" t="s">
        <v>851</v>
      </c>
      <c r="AX56" s="6" t="s">
        <v>852</v>
      </c>
    </row>
    <row r="57" spans="1:50" hidden="1" x14ac:dyDescent="0.2">
      <c r="A57" s="3" t="s">
        <v>216</v>
      </c>
      <c r="B57" s="3" t="s">
        <v>57</v>
      </c>
      <c r="C57" s="3">
        <v>614622642</v>
      </c>
      <c r="D57" s="3" t="s">
        <v>52</v>
      </c>
      <c r="E57" s="3" t="s">
        <v>46</v>
      </c>
      <c r="F57" s="3" t="s">
        <v>53</v>
      </c>
      <c r="G57" s="3" t="s">
        <v>53</v>
      </c>
      <c r="H57" s="3" t="s">
        <v>214</v>
      </c>
      <c r="I57" s="3" t="s">
        <v>181</v>
      </c>
      <c r="J57" s="20" t="s">
        <v>217</v>
      </c>
      <c r="K57" s="3">
        <v>1.1792452830188299E-3</v>
      </c>
      <c r="L57" s="3">
        <v>424</v>
      </c>
      <c r="M57" s="3">
        <v>11.783622581991899</v>
      </c>
      <c r="N57" s="20" t="s">
        <v>218</v>
      </c>
      <c r="O57" s="3">
        <v>0.45382795380094798</v>
      </c>
      <c r="P57" s="3">
        <v>263</v>
      </c>
      <c r="Q57" s="3">
        <v>140</v>
      </c>
      <c r="R57" s="3">
        <v>26</v>
      </c>
      <c r="S57" s="3">
        <v>0</v>
      </c>
      <c r="T57" s="3">
        <v>0</v>
      </c>
      <c r="U57" s="3">
        <v>0</v>
      </c>
      <c r="V57" s="3">
        <v>0</v>
      </c>
      <c r="W57" s="3">
        <v>0</v>
      </c>
      <c r="X57" s="3">
        <v>0</v>
      </c>
      <c r="Y57" s="3">
        <v>0</v>
      </c>
      <c r="Z57" s="3">
        <v>0</v>
      </c>
      <c r="AA57" s="3">
        <v>0</v>
      </c>
      <c r="AB57" s="3">
        <v>0</v>
      </c>
      <c r="AC57" s="3">
        <v>0</v>
      </c>
      <c r="AD57" s="3">
        <v>6.0606060606060601E-2</v>
      </c>
      <c r="AE57" s="3">
        <v>0.326340326340326</v>
      </c>
      <c r="AF57" s="3">
        <v>0.61305361305361294</v>
      </c>
      <c r="AG57" s="3">
        <v>0</v>
      </c>
      <c r="AH57" s="3">
        <v>0</v>
      </c>
      <c r="AI57" s="3">
        <v>0</v>
      </c>
      <c r="AJ57" s="3">
        <v>0.223776223776224</v>
      </c>
      <c r="AK57" s="3">
        <v>0</v>
      </c>
      <c r="AL57" s="3">
        <v>0.77622377622377603</v>
      </c>
      <c r="AM57" s="3">
        <v>0</v>
      </c>
      <c r="AN57" s="3">
        <v>72.230769230769198</v>
      </c>
      <c r="AO57" s="3">
        <v>71.971428571428604</v>
      </c>
      <c r="AP57" s="3">
        <v>72.403100775193806</v>
      </c>
      <c r="AQ57" s="3"/>
      <c r="AR57" s="3"/>
      <c r="AS57" s="3"/>
      <c r="AT57" s="3"/>
      <c r="AU57" s="3"/>
      <c r="AV57" s="3"/>
      <c r="AW57" s="6"/>
      <c r="AX57" s="6"/>
    </row>
    <row r="58" spans="1:50" ht="84" hidden="1" x14ac:dyDescent="0.2">
      <c r="A58" s="3" t="s">
        <v>546</v>
      </c>
      <c r="B58" s="3" t="s">
        <v>198</v>
      </c>
      <c r="C58" s="3">
        <v>574080626</v>
      </c>
      <c r="D58" s="3" t="s">
        <v>156</v>
      </c>
      <c r="E58" s="3" t="s">
        <v>59</v>
      </c>
      <c r="F58" s="3" t="s">
        <v>53</v>
      </c>
      <c r="G58" s="3" t="s">
        <v>53</v>
      </c>
      <c r="H58" s="3" t="s">
        <v>86</v>
      </c>
      <c r="I58" s="3" t="s">
        <v>519</v>
      </c>
      <c r="J58" s="20" t="s">
        <v>547</v>
      </c>
      <c r="K58" s="3">
        <v>1.7080745341614901E-2</v>
      </c>
      <c r="L58" s="3">
        <v>322</v>
      </c>
      <c r="M58" s="3">
        <v>1.73229826972753</v>
      </c>
      <c r="N58" s="20" t="s">
        <v>548</v>
      </c>
      <c r="O58" s="3">
        <v>0.32478280294517597</v>
      </c>
      <c r="P58" s="3">
        <v>0</v>
      </c>
      <c r="Q58" s="3">
        <v>0</v>
      </c>
      <c r="R58" s="3">
        <v>21</v>
      </c>
      <c r="S58" s="3">
        <v>0</v>
      </c>
      <c r="T58" s="3">
        <v>0</v>
      </c>
      <c r="U58" s="3">
        <v>101</v>
      </c>
      <c r="V58" s="3">
        <v>0</v>
      </c>
      <c r="W58" s="3">
        <v>0</v>
      </c>
      <c r="X58" s="3">
        <v>235</v>
      </c>
      <c r="Y58" s="3">
        <v>0</v>
      </c>
      <c r="Z58" s="3">
        <v>0</v>
      </c>
      <c r="AA58" s="3">
        <v>0</v>
      </c>
      <c r="AB58" s="3">
        <v>0.28291316526610599</v>
      </c>
      <c r="AC58" s="3">
        <v>0.65826330532212896</v>
      </c>
      <c r="AD58" s="3">
        <v>5.8823529411764698E-2</v>
      </c>
      <c r="AE58" s="3">
        <v>0</v>
      </c>
      <c r="AF58" s="3">
        <v>0</v>
      </c>
      <c r="AG58" s="3">
        <v>0</v>
      </c>
      <c r="AH58" s="3">
        <v>0</v>
      </c>
      <c r="AI58" s="3">
        <v>0</v>
      </c>
      <c r="AJ58" s="3">
        <v>0.38795518207282897</v>
      </c>
      <c r="AK58" s="3">
        <v>0.61204481792717103</v>
      </c>
      <c r="AL58" s="3">
        <v>0</v>
      </c>
      <c r="AM58" s="3">
        <v>0</v>
      </c>
      <c r="AN58" s="3">
        <v>9.4444444444444497E-2</v>
      </c>
      <c r="AO58" s="3">
        <v>0.13014354066985601</v>
      </c>
      <c r="AP58" s="3">
        <v>0.115789473684211</v>
      </c>
      <c r="AQ58" s="3" t="s">
        <v>717</v>
      </c>
      <c r="AR58" s="3" t="s">
        <v>718</v>
      </c>
      <c r="AS58" s="3" t="s">
        <v>913</v>
      </c>
      <c r="AT58" s="3"/>
      <c r="AU58" s="3"/>
      <c r="AV58" s="3"/>
      <c r="AW58" s="8" t="s">
        <v>719</v>
      </c>
      <c r="AX58" s="6" t="s">
        <v>720</v>
      </c>
    </row>
    <row r="59" spans="1:50" hidden="1" x14ac:dyDescent="0.2">
      <c r="A59" s="3" t="s">
        <v>390</v>
      </c>
      <c r="B59" s="3" t="s">
        <v>105</v>
      </c>
      <c r="C59" s="3">
        <v>32856422</v>
      </c>
      <c r="D59" s="3" t="s">
        <v>52</v>
      </c>
      <c r="E59" s="3" t="s">
        <v>46</v>
      </c>
      <c r="F59" s="3" t="s">
        <v>53</v>
      </c>
      <c r="G59" s="3" t="s">
        <v>53</v>
      </c>
      <c r="H59" s="3" t="s">
        <v>382</v>
      </c>
      <c r="I59" s="3" t="s">
        <v>369</v>
      </c>
      <c r="J59" s="20" t="s">
        <v>391</v>
      </c>
      <c r="K59" s="3">
        <v>1.78571428571428E-3</v>
      </c>
      <c r="L59" s="3">
        <v>280</v>
      </c>
      <c r="M59" s="3">
        <v>-2.8369226710292001</v>
      </c>
      <c r="N59" s="20" t="s">
        <v>392</v>
      </c>
      <c r="O59" s="3">
        <v>0.21360226959304299</v>
      </c>
      <c r="P59" s="3">
        <v>353</v>
      </c>
      <c r="Q59" s="3">
        <v>10</v>
      </c>
      <c r="R59" s="3">
        <v>1</v>
      </c>
      <c r="S59" s="3">
        <v>0</v>
      </c>
      <c r="T59" s="3">
        <v>0</v>
      </c>
      <c r="U59" s="3">
        <v>0</v>
      </c>
      <c r="V59" s="3">
        <v>0</v>
      </c>
      <c r="W59" s="3">
        <v>0</v>
      </c>
      <c r="X59" s="3">
        <v>0</v>
      </c>
      <c r="Y59" s="3">
        <v>0</v>
      </c>
      <c r="Z59" s="3">
        <v>0</v>
      </c>
      <c r="AA59" s="3">
        <v>0</v>
      </c>
      <c r="AB59" s="3">
        <v>0</v>
      </c>
      <c r="AC59" s="3">
        <v>0</v>
      </c>
      <c r="AD59" s="3">
        <v>2.7472527472527501E-3</v>
      </c>
      <c r="AE59" s="3">
        <v>2.74725274725275E-2</v>
      </c>
      <c r="AF59" s="3">
        <v>0.96978021978022</v>
      </c>
      <c r="AG59" s="3">
        <v>0</v>
      </c>
      <c r="AH59" s="3">
        <v>0</v>
      </c>
      <c r="AI59" s="3">
        <v>0</v>
      </c>
      <c r="AJ59" s="3">
        <v>1.6483516483516501E-2</v>
      </c>
      <c r="AK59" s="3">
        <v>0</v>
      </c>
      <c r="AL59" s="3">
        <v>0.98351648351648302</v>
      </c>
      <c r="AM59" s="3">
        <v>0</v>
      </c>
      <c r="AN59" s="3">
        <v>0</v>
      </c>
      <c r="AO59" s="3">
        <v>0.46666666666666701</v>
      </c>
      <c r="AP59" s="3">
        <v>0.31851851851851798</v>
      </c>
      <c r="AQ59" s="3"/>
      <c r="AR59" s="3"/>
      <c r="AS59" s="3"/>
      <c r="AT59" s="3"/>
      <c r="AU59" s="3"/>
      <c r="AV59" s="3"/>
      <c r="AW59" s="6"/>
      <c r="AX59" s="6"/>
    </row>
    <row r="60" spans="1:50" hidden="1" x14ac:dyDescent="0.2">
      <c r="A60" s="3" t="s">
        <v>126</v>
      </c>
      <c r="B60" s="3" t="s">
        <v>123</v>
      </c>
      <c r="C60" s="3">
        <v>547551925</v>
      </c>
      <c r="D60" s="3" t="s">
        <v>127</v>
      </c>
      <c r="E60" s="3" t="s">
        <v>45</v>
      </c>
      <c r="F60" s="3" t="s">
        <v>53</v>
      </c>
      <c r="G60" s="3" t="s">
        <v>53</v>
      </c>
      <c r="H60" s="3" t="s">
        <v>117</v>
      </c>
      <c r="I60" s="3" t="s">
        <v>48</v>
      </c>
      <c r="J60" s="20" t="s">
        <v>128</v>
      </c>
      <c r="K60" s="3">
        <v>0.20525059665871101</v>
      </c>
      <c r="L60" s="3">
        <v>419</v>
      </c>
      <c r="M60" s="3">
        <v>-8.4833374429666097E-2</v>
      </c>
      <c r="N60" s="20" t="s">
        <v>129</v>
      </c>
      <c r="O60" s="3">
        <v>0.137881580440536</v>
      </c>
      <c r="P60" s="3">
        <v>0</v>
      </c>
      <c r="Q60" s="3">
        <v>0</v>
      </c>
      <c r="R60" s="3">
        <v>1</v>
      </c>
      <c r="S60" s="3">
        <v>0</v>
      </c>
      <c r="T60" s="3">
        <v>416</v>
      </c>
      <c r="U60" s="3">
        <v>0</v>
      </c>
      <c r="V60" s="3">
        <v>0</v>
      </c>
      <c r="W60" s="3">
        <v>0</v>
      </c>
      <c r="X60" s="3">
        <v>0</v>
      </c>
      <c r="Y60" s="3">
        <v>12</v>
      </c>
      <c r="Z60" s="3">
        <v>0</v>
      </c>
      <c r="AA60" s="3">
        <v>0.96969696969696995</v>
      </c>
      <c r="AB60" s="3">
        <v>0</v>
      </c>
      <c r="AC60" s="3">
        <v>0</v>
      </c>
      <c r="AD60" s="3">
        <v>2.3310023310023301E-3</v>
      </c>
      <c r="AE60" s="3">
        <v>0</v>
      </c>
      <c r="AF60" s="3">
        <v>0</v>
      </c>
      <c r="AG60" s="3">
        <v>0</v>
      </c>
      <c r="AH60" s="3">
        <v>2.7972027972028E-2</v>
      </c>
      <c r="AI60" s="3">
        <v>0</v>
      </c>
      <c r="AJ60" s="3">
        <v>1.6317016317016299E-2</v>
      </c>
      <c r="AK60" s="3">
        <v>0</v>
      </c>
      <c r="AL60" s="3">
        <v>0</v>
      </c>
      <c r="AM60" s="3">
        <v>0.98368298368298401</v>
      </c>
      <c r="AN60" s="3">
        <v>0</v>
      </c>
      <c r="AO60" s="3">
        <v>8.3333333333333301E-2</v>
      </c>
      <c r="AP60" s="3">
        <v>0.13743842364532</v>
      </c>
      <c r="AQ60" s="3"/>
      <c r="AR60" s="3"/>
      <c r="AS60" s="3"/>
      <c r="AT60" s="3"/>
      <c r="AU60" s="3"/>
      <c r="AV60" s="3"/>
      <c r="AW60" s="6"/>
      <c r="AX60" s="6"/>
    </row>
    <row r="61" spans="1:50" ht="84" hidden="1" x14ac:dyDescent="0.2">
      <c r="A61" s="3" t="s">
        <v>331</v>
      </c>
      <c r="B61" s="3" t="s">
        <v>113</v>
      </c>
      <c r="C61" s="3">
        <v>222819554</v>
      </c>
      <c r="D61" s="3" t="s">
        <v>156</v>
      </c>
      <c r="E61" s="3" t="s">
        <v>59</v>
      </c>
      <c r="F61" s="3" t="s">
        <v>53</v>
      </c>
      <c r="G61" s="3" t="s">
        <v>53</v>
      </c>
      <c r="H61" s="3" t="s">
        <v>234</v>
      </c>
      <c r="I61" s="3" t="s">
        <v>259</v>
      </c>
      <c r="J61" s="20" t="s">
        <v>332</v>
      </c>
      <c r="K61" s="3">
        <v>6.1994609164420497E-2</v>
      </c>
      <c r="L61" s="3">
        <v>371</v>
      </c>
      <c r="M61" s="3">
        <v>-4.0256717022340096</v>
      </c>
      <c r="N61" s="20" t="s">
        <v>333</v>
      </c>
      <c r="O61" s="3">
        <v>0.12266360395753501</v>
      </c>
      <c r="P61" s="3">
        <v>0</v>
      </c>
      <c r="Q61" s="3">
        <v>0</v>
      </c>
      <c r="R61" s="3">
        <v>63</v>
      </c>
      <c r="S61" s="3">
        <v>0</v>
      </c>
      <c r="T61" s="3">
        <v>0</v>
      </c>
      <c r="U61" s="3">
        <v>190</v>
      </c>
      <c r="V61" s="3">
        <v>0</v>
      </c>
      <c r="W61" s="3">
        <v>0</v>
      </c>
      <c r="X61" s="3">
        <v>176</v>
      </c>
      <c r="Y61" s="3">
        <v>0</v>
      </c>
      <c r="Z61" s="3">
        <v>0</v>
      </c>
      <c r="AA61" s="3">
        <v>0</v>
      </c>
      <c r="AB61" s="3">
        <v>0.44289044289044299</v>
      </c>
      <c r="AC61" s="3">
        <v>0.41025641025641002</v>
      </c>
      <c r="AD61" s="3">
        <v>0.14685314685314699</v>
      </c>
      <c r="AE61" s="3">
        <v>0</v>
      </c>
      <c r="AF61" s="3">
        <v>0</v>
      </c>
      <c r="AG61" s="3">
        <v>0</v>
      </c>
      <c r="AH61" s="3">
        <v>0</v>
      </c>
      <c r="AI61" s="3">
        <v>0</v>
      </c>
      <c r="AJ61" s="3">
        <v>0.351981351981352</v>
      </c>
      <c r="AK61" s="3">
        <v>0.64801864801864795</v>
      </c>
      <c r="AL61" s="3">
        <v>0</v>
      </c>
      <c r="AM61" s="3">
        <v>0</v>
      </c>
      <c r="AN61" s="3">
        <v>2.6226415094339601</v>
      </c>
      <c r="AO61" s="3">
        <v>4.8653846153846096</v>
      </c>
      <c r="AP61" s="3">
        <v>2.7469135802469098</v>
      </c>
      <c r="AQ61" s="3" t="s">
        <v>807</v>
      </c>
      <c r="AR61" s="3" t="s">
        <v>808</v>
      </c>
      <c r="AS61" s="3" t="s">
        <v>913</v>
      </c>
      <c r="AT61" s="3"/>
      <c r="AU61" s="3"/>
      <c r="AV61" s="3"/>
      <c r="AW61" s="10" t="s">
        <v>809</v>
      </c>
      <c r="AX61" s="6" t="s">
        <v>810</v>
      </c>
    </row>
    <row r="62" spans="1:50" hidden="1" x14ac:dyDescent="0.2">
      <c r="A62" s="3" t="s">
        <v>130</v>
      </c>
      <c r="B62" s="3" t="s">
        <v>66</v>
      </c>
      <c r="C62" s="3">
        <v>75793122</v>
      </c>
      <c r="D62" s="3" t="s">
        <v>44</v>
      </c>
      <c r="E62" s="3" t="s">
        <v>45</v>
      </c>
      <c r="F62" s="3" t="s">
        <v>46</v>
      </c>
      <c r="G62" s="3" t="s">
        <v>46</v>
      </c>
      <c r="H62" s="3" t="s">
        <v>117</v>
      </c>
      <c r="I62" s="3" t="s">
        <v>48</v>
      </c>
      <c r="J62" s="20" t="s">
        <v>131</v>
      </c>
      <c r="K62" s="3">
        <v>0.144391408114558</v>
      </c>
      <c r="L62" s="3">
        <v>419</v>
      </c>
      <c r="M62" s="3">
        <v>-9.2124010701207307E-2</v>
      </c>
      <c r="N62" s="3">
        <v>6.3290818322730405E-4</v>
      </c>
      <c r="O62" s="3">
        <v>0.108806686548686</v>
      </c>
      <c r="P62" s="3">
        <v>11</v>
      </c>
      <c r="Q62" s="3">
        <v>0</v>
      </c>
      <c r="R62" s="3">
        <v>0</v>
      </c>
      <c r="S62" s="3">
        <v>82</v>
      </c>
      <c r="T62" s="3">
        <v>336</v>
      </c>
      <c r="U62" s="3">
        <v>0</v>
      </c>
      <c r="V62" s="3">
        <v>0</v>
      </c>
      <c r="W62" s="3">
        <v>0</v>
      </c>
      <c r="X62" s="3">
        <v>0</v>
      </c>
      <c r="Y62" s="3">
        <v>0</v>
      </c>
      <c r="Z62" s="3">
        <v>0</v>
      </c>
      <c r="AA62" s="3">
        <v>0.78321678321678301</v>
      </c>
      <c r="AB62" s="3">
        <v>0</v>
      </c>
      <c r="AC62" s="3">
        <v>0</v>
      </c>
      <c r="AD62" s="3">
        <v>0</v>
      </c>
      <c r="AE62" s="3">
        <v>0</v>
      </c>
      <c r="AF62" s="3">
        <v>2.5641025641025599E-2</v>
      </c>
      <c r="AG62" s="3">
        <v>0.191142191142191</v>
      </c>
      <c r="AH62" s="3">
        <v>0</v>
      </c>
      <c r="AI62" s="3">
        <v>0</v>
      </c>
      <c r="AJ62" s="3">
        <v>0</v>
      </c>
      <c r="AK62" s="3">
        <v>0</v>
      </c>
      <c r="AL62" s="3">
        <v>0.12121212121212099</v>
      </c>
      <c r="AM62" s="3">
        <v>0.87878787878787901</v>
      </c>
      <c r="AN62" s="3">
        <v>0.18</v>
      </c>
      <c r="AO62" s="3">
        <v>0.13670886075949401</v>
      </c>
      <c r="AP62" s="3">
        <v>0.133939393939394</v>
      </c>
      <c r="AQ62" s="3" t="s">
        <v>791</v>
      </c>
      <c r="AR62" s="3" t="s">
        <v>635</v>
      </c>
      <c r="AS62" s="3" t="s">
        <v>913</v>
      </c>
      <c r="AT62" s="3"/>
      <c r="AU62" s="3"/>
      <c r="AV62" s="3"/>
      <c r="AW62" s="6"/>
      <c r="AX62" s="6"/>
    </row>
    <row r="63" spans="1:50" ht="56" hidden="1" x14ac:dyDescent="0.2">
      <c r="A63" s="3" t="s">
        <v>494</v>
      </c>
      <c r="B63" s="3" t="s">
        <v>70</v>
      </c>
      <c r="C63" s="3">
        <v>352707146</v>
      </c>
      <c r="D63" s="3" t="s">
        <v>58</v>
      </c>
      <c r="E63" s="3" t="s">
        <v>46</v>
      </c>
      <c r="F63" s="3" t="s">
        <v>59</v>
      </c>
      <c r="G63" s="3" t="s">
        <v>59</v>
      </c>
      <c r="H63" s="3" t="s">
        <v>255</v>
      </c>
      <c r="I63" s="3" t="s">
        <v>432</v>
      </c>
      <c r="J63" s="20" t="s">
        <v>495</v>
      </c>
      <c r="K63" s="3">
        <v>6.53594771241828E-3</v>
      </c>
      <c r="L63" s="3">
        <v>306</v>
      </c>
      <c r="M63" s="3">
        <v>-2.68947027096723</v>
      </c>
      <c r="N63" s="3">
        <v>1.4674515431360399E-4</v>
      </c>
      <c r="O63" s="3">
        <v>0.10455246849031501</v>
      </c>
      <c r="P63" s="3">
        <v>141</v>
      </c>
      <c r="Q63" s="3">
        <v>0</v>
      </c>
      <c r="R63" s="3">
        <v>0</v>
      </c>
      <c r="S63" s="3">
        <v>0</v>
      </c>
      <c r="T63" s="3">
        <v>0</v>
      </c>
      <c r="U63" s="3">
        <v>52</v>
      </c>
      <c r="V63" s="3">
        <v>164</v>
      </c>
      <c r="W63" s="3">
        <v>0</v>
      </c>
      <c r="X63" s="3">
        <v>0</v>
      </c>
      <c r="Y63" s="3">
        <v>0</v>
      </c>
      <c r="Z63" s="3">
        <v>0</v>
      </c>
      <c r="AA63" s="3">
        <v>0</v>
      </c>
      <c r="AB63" s="3">
        <v>0.145658263305322</v>
      </c>
      <c r="AC63" s="3">
        <v>0</v>
      </c>
      <c r="AD63" s="3">
        <v>0</v>
      </c>
      <c r="AE63" s="3">
        <v>0</v>
      </c>
      <c r="AF63" s="3">
        <v>0.39495798319327702</v>
      </c>
      <c r="AG63" s="3">
        <v>0</v>
      </c>
      <c r="AH63" s="3">
        <v>0</v>
      </c>
      <c r="AI63" s="3">
        <v>0.45938375350140098</v>
      </c>
      <c r="AJ63" s="3">
        <v>0</v>
      </c>
      <c r="AK63" s="3">
        <v>0.37535014005602202</v>
      </c>
      <c r="AL63" s="3">
        <v>0.62464985994397804</v>
      </c>
      <c r="AM63" s="3">
        <v>0</v>
      </c>
      <c r="AN63" s="3">
        <v>0.29166666666666702</v>
      </c>
      <c r="AO63" s="3">
        <v>1.0281690140845099</v>
      </c>
      <c r="AP63" s="3">
        <v>0.88793103448275901</v>
      </c>
      <c r="AQ63" s="3" t="s">
        <v>780</v>
      </c>
      <c r="AR63" s="3" t="s">
        <v>781</v>
      </c>
      <c r="AS63" s="3" t="s">
        <v>913</v>
      </c>
      <c r="AT63" s="3"/>
      <c r="AU63" s="3"/>
      <c r="AV63" s="3"/>
      <c r="AW63" s="14" t="s">
        <v>782</v>
      </c>
      <c r="AX63" s="21" t="s">
        <v>783</v>
      </c>
    </row>
    <row r="64" spans="1:50" hidden="1" x14ac:dyDescent="0.2">
      <c r="A64" s="3" t="s">
        <v>449</v>
      </c>
      <c r="B64" s="3" t="s">
        <v>77</v>
      </c>
      <c r="C64" s="3">
        <v>452759354</v>
      </c>
      <c r="D64" s="3" t="s">
        <v>44</v>
      </c>
      <c r="E64" s="3" t="s">
        <v>46</v>
      </c>
      <c r="F64" s="3" t="s">
        <v>45</v>
      </c>
      <c r="G64" s="3" t="s">
        <v>46</v>
      </c>
      <c r="H64" s="3" t="s">
        <v>86</v>
      </c>
      <c r="I64" s="3" t="s">
        <v>432</v>
      </c>
      <c r="J64" s="20" t="s">
        <v>450</v>
      </c>
      <c r="K64" s="3">
        <v>0.40595611285266497</v>
      </c>
      <c r="L64" s="3">
        <v>319</v>
      </c>
      <c r="M64" s="3">
        <v>-0.80978825861602699</v>
      </c>
      <c r="N64" s="3">
        <v>2.5078725547451799E-3</v>
      </c>
      <c r="O64" s="3">
        <v>9.1216790810173698E-2</v>
      </c>
      <c r="P64" s="3">
        <v>37</v>
      </c>
      <c r="Q64" s="3">
        <v>0</v>
      </c>
      <c r="R64" s="3">
        <v>0</v>
      </c>
      <c r="S64" s="3">
        <v>135</v>
      </c>
      <c r="T64" s="3">
        <v>185</v>
      </c>
      <c r="U64" s="3">
        <v>0</v>
      </c>
      <c r="V64" s="3">
        <v>0</v>
      </c>
      <c r="W64" s="3">
        <v>0</v>
      </c>
      <c r="X64" s="3">
        <v>0</v>
      </c>
      <c r="Y64" s="3">
        <v>0</v>
      </c>
      <c r="Z64" s="3">
        <v>0</v>
      </c>
      <c r="AA64" s="3">
        <v>0.51820728291316498</v>
      </c>
      <c r="AB64" s="3">
        <v>0</v>
      </c>
      <c r="AC64" s="3">
        <v>0</v>
      </c>
      <c r="AD64" s="3">
        <v>0</v>
      </c>
      <c r="AE64" s="3">
        <v>0</v>
      </c>
      <c r="AF64" s="3">
        <v>0.103641456582633</v>
      </c>
      <c r="AG64" s="3">
        <v>0.378151260504202</v>
      </c>
      <c r="AH64" s="3">
        <v>0</v>
      </c>
      <c r="AI64" s="3">
        <v>0</v>
      </c>
      <c r="AJ64" s="3">
        <v>0</v>
      </c>
      <c r="AK64" s="3">
        <v>0</v>
      </c>
      <c r="AL64" s="3">
        <v>0.29271708683473402</v>
      </c>
      <c r="AM64" s="3">
        <v>0.70728291316526604</v>
      </c>
      <c r="AN64" s="3">
        <v>4.4774193548387098</v>
      </c>
      <c r="AO64" s="3">
        <v>2.5032000000000001</v>
      </c>
      <c r="AP64" s="3">
        <v>3.1435582822085899</v>
      </c>
      <c r="AQ64" s="3" t="s">
        <v>914</v>
      </c>
      <c r="AR64" s="3"/>
      <c r="AS64" s="3" t="s">
        <v>635</v>
      </c>
      <c r="AT64" s="3" t="s">
        <v>636</v>
      </c>
      <c r="AU64" s="4">
        <v>0.83</v>
      </c>
      <c r="AV64" s="5">
        <v>0.85799999999999998</v>
      </c>
      <c r="AW64" s="6"/>
      <c r="AX64" s="6"/>
    </row>
    <row r="65" spans="1:50" ht="112" hidden="1" x14ac:dyDescent="0.2">
      <c r="A65" s="3" t="s">
        <v>162</v>
      </c>
      <c r="B65" s="3" t="s">
        <v>105</v>
      </c>
      <c r="C65" s="3">
        <v>24099466</v>
      </c>
      <c r="D65" s="3" t="s">
        <v>85</v>
      </c>
      <c r="E65" s="3" t="s">
        <v>53</v>
      </c>
      <c r="F65" s="3" t="s">
        <v>45</v>
      </c>
      <c r="G65" s="3" t="s">
        <v>45</v>
      </c>
      <c r="H65" s="3" t="s">
        <v>153</v>
      </c>
      <c r="I65" s="3" t="s">
        <v>48</v>
      </c>
      <c r="J65" s="20" t="s">
        <v>163</v>
      </c>
      <c r="K65" s="3">
        <v>3.0120481927710899E-2</v>
      </c>
      <c r="L65" s="3">
        <v>415</v>
      </c>
      <c r="M65" s="3">
        <v>-1.05981861375921E-2</v>
      </c>
      <c r="N65" s="3">
        <v>2.2124874555592799E-3</v>
      </c>
      <c r="O65" s="3">
        <v>7.1732257749029804E-2</v>
      </c>
      <c r="P65" s="3">
        <v>0</v>
      </c>
      <c r="Q65" s="3">
        <v>0</v>
      </c>
      <c r="R65" s="3">
        <v>393</v>
      </c>
      <c r="S65" s="3">
        <v>0</v>
      </c>
      <c r="T65" s="3">
        <v>0</v>
      </c>
      <c r="U65" s="3">
        <v>0</v>
      </c>
      <c r="V65" s="3">
        <v>0</v>
      </c>
      <c r="W65" s="3">
        <v>0</v>
      </c>
      <c r="X65" s="3">
        <v>0</v>
      </c>
      <c r="Y65" s="3">
        <v>36</v>
      </c>
      <c r="Z65" s="3">
        <v>0</v>
      </c>
      <c r="AA65" s="3">
        <v>0</v>
      </c>
      <c r="AB65" s="3">
        <v>0</v>
      </c>
      <c r="AC65" s="3">
        <v>0</v>
      </c>
      <c r="AD65" s="3">
        <v>0.91608391608391604</v>
      </c>
      <c r="AE65" s="3">
        <v>0</v>
      </c>
      <c r="AF65" s="3">
        <v>0</v>
      </c>
      <c r="AG65" s="3">
        <v>0</v>
      </c>
      <c r="AH65" s="3">
        <v>8.3916083916083906E-2</v>
      </c>
      <c r="AI65" s="3">
        <v>0</v>
      </c>
      <c r="AJ65" s="3">
        <v>0.95804195804195802</v>
      </c>
      <c r="AK65" s="3">
        <v>0</v>
      </c>
      <c r="AL65" s="3">
        <v>0</v>
      </c>
      <c r="AM65" s="3">
        <v>4.1958041958042001E-2</v>
      </c>
      <c r="AN65" s="3" t="s">
        <v>55</v>
      </c>
      <c r="AO65" s="3">
        <v>1.41375183333333E-2</v>
      </c>
      <c r="AP65" s="3">
        <v>1.5549050052770399E-2</v>
      </c>
      <c r="AQ65" s="3" t="s">
        <v>872</v>
      </c>
      <c r="AR65" s="3" t="s">
        <v>873</v>
      </c>
      <c r="AS65" s="3" t="s">
        <v>635</v>
      </c>
      <c r="AT65" s="3" t="s">
        <v>636</v>
      </c>
      <c r="AU65" s="4">
        <v>1</v>
      </c>
      <c r="AV65" s="5">
        <v>0.95050000000000001</v>
      </c>
      <c r="AW65" s="8" t="s">
        <v>874</v>
      </c>
      <c r="AX65" s="6" t="s">
        <v>932</v>
      </c>
    </row>
    <row r="66" spans="1:50" ht="42" hidden="1" x14ac:dyDescent="0.2">
      <c r="A66" s="3" t="s">
        <v>151</v>
      </c>
      <c r="B66" s="3" t="s">
        <v>152</v>
      </c>
      <c r="C66" s="3">
        <v>110440439</v>
      </c>
      <c r="D66" s="3" t="s">
        <v>52</v>
      </c>
      <c r="E66" s="3" t="s">
        <v>46</v>
      </c>
      <c r="F66" s="3" t="s">
        <v>53</v>
      </c>
      <c r="G66" s="3" t="s">
        <v>53</v>
      </c>
      <c r="H66" s="3" t="s">
        <v>153</v>
      </c>
      <c r="I66" s="3" t="s">
        <v>48</v>
      </c>
      <c r="J66" s="20" t="s">
        <v>154</v>
      </c>
      <c r="K66" s="3">
        <v>0.19518072289156599</v>
      </c>
      <c r="L66" s="3">
        <v>415</v>
      </c>
      <c r="M66" s="3">
        <v>-3.7125437777478201E-3</v>
      </c>
      <c r="N66" s="3">
        <v>4.9358280852651896E-3</v>
      </c>
      <c r="O66" s="3">
        <v>2.8933831966421399E-3</v>
      </c>
      <c r="P66" s="3">
        <v>399</v>
      </c>
      <c r="Q66" s="3">
        <v>30</v>
      </c>
      <c r="R66" s="3">
        <v>0</v>
      </c>
      <c r="S66" s="3">
        <v>0</v>
      </c>
      <c r="T66" s="3">
        <v>0</v>
      </c>
      <c r="U66" s="3">
        <v>0</v>
      </c>
      <c r="V66" s="3">
        <v>0</v>
      </c>
      <c r="W66" s="3">
        <v>0</v>
      </c>
      <c r="X66" s="3">
        <v>0</v>
      </c>
      <c r="Y66" s="3">
        <v>0</v>
      </c>
      <c r="Z66" s="3">
        <v>0</v>
      </c>
      <c r="AA66" s="3">
        <v>0</v>
      </c>
      <c r="AB66" s="3">
        <v>0</v>
      </c>
      <c r="AC66" s="3">
        <v>0</v>
      </c>
      <c r="AD66" s="3">
        <v>0</v>
      </c>
      <c r="AE66" s="3">
        <v>6.9930069930069894E-2</v>
      </c>
      <c r="AF66" s="3">
        <v>0.93006993006993</v>
      </c>
      <c r="AG66" s="3">
        <v>0</v>
      </c>
      <c r="AH66" s="3">
        <v>0</v>
      </c>
      <c r="AI66" s="3">
        <v>0</v>
      </c>
      <c r="AJ66" s="3">
        <v>3.4965034965035002E-2</v>
      </c>
      <c r="AK66" s="3">
        <v>0</v>
      </c>
      <c r="AL66" s="3">
        <v>0.965034965034965</v>
      </c>
      <c r="AM66" s="3">
        <v>0</v>
      </c>
      <c r="AN66" s="3" t="s">
        <v>55</v>
      </c>
      <c r="AO66" s="3">
        <v>1.3905423793103401E-2</v>
      </c>
      <c r="AP66" s="3">
        <v>1.55408894818653E-2</v>
      </c>
      <c r="AQ66" s="3" t="s">
        <v>866</v>
      </c>
      <c r="AR66" s="3" t="s">
        <v>867</v>
      </c>
      <c r="AS66" s="3" t="s">
        <v>868</v>
      </c>
      <c r="AT66" s="3" t="s">
        <v>869</v>
      </c>
      <c r="AU66" s="4">
        <v>0.99</v>
      </c>
      <c r="AV66" s="5">
        <v>0.97499999999999998</v>
      </c>
      <c r="AW66" s="10" t="s">
        <v>870</v>
      </c>
      <c r="AX66" s="6" t="s">
        <v>871</v>
      </c>
    </row>
    <row r="67" spans="1:50" hidden="1" x14ac:dyDescent="0.2">
      <c r="A67" s="3" t="s">
        <v>166</v>
      </c>
      <c r="B67" s="3" t="s">
        <v>74</v>
      </c>
      <c r="C67" s="3">
        <v>206124266</v>
      </c>
      <c r="D67" s="3" t="s">
        <v>71</v>
      </c>
      <c r="E67" s="3" t="s">
        <v>45</v>
      </c>
      <c r="F67" s="3" t="s">
        <v>59</v>
      </c>
      <c r="G67" s="3" t="s">
        <v>59</v>
      </c>
      <c r="H67" s="3" t="s">
        <v>153</v>
      </c>
      <c r="I67" s="3" t="s">
        <v>48</v>
      </c>
      <c r="J67" s="20" t="s">
        <v>167</v>
      </c>
      <c r="K67" s="3">
        <v>3.2530120481927702E-2</v>
      </c>
      <c r="L67" s="3">
        <v>415</v>
      </c>
      <c r="M67" s="3">
        <v>-8.6662224266942905E-3</v>
      </c>
      <c r="N67" s="3">
        <v>4.9358280852651896E-3</v>
      </c>
      <c r="O67" s="3">
        <v>6.7392028299547704E-4</v>
      </c>
      <c r="P67" s="3">
        <v>0</v>
      </c>
      <c r="Q67" s="3">
        <v>0</v>
      </c>
      <c r="R67" s="3">
        <v>0</v>
      </c>
      <c r="S67" s="3">
        <v>0</v>
      </c>
      <c r="T67" s="3">
        <v>221</v>
      </c>
      <c r="U67" s="3">
        <v>15</v>
      </c>
      <c r="V67" s="3">
        <v>0</v>
      </c>
      <c r="W67" s="3">
        <v>193</v>
      </c>
      <c r="X67" s="3">
        <v>0</v>
      </c>
      <c r="Y67" s="3">
        <v>0</v>
      </c>
      <c r="Z67" s="3">
        <v>0.44988344988345003</v>
      </c>
      <c r="AA67" s="3">
        <v>0.51515151515151503</v>
      </c>
      <c r="AB67" s="3">
        <v>3.4965034965035002E-2</v>
      </c>
      <c r="AC67" s="3">
        <v>0</v>
      </c>
      <c r="AD67" s="3">
        <v>0</v>
      </c>
      <c r="AE67" s="3">
        <v>0</v>
      </c>
      <c r="AF67" s="3">
        <v>0</v>
      </c>
      <c r="AG67" s="3">
        <v>0</v>
      </c>
      <c r="AH67" s="3">
        <v>0</v>
      </c>
      <c r="AI67" s="3">
        <v>0</v>
      </c>
      <c r="AJ67" s="3">
        <v>0</v>
      </c>
      <c r="AK67" s="3">
        <v>0.25990675990675999</v>
      </c>
      <c r="AL67" s="3">
        <v>0</v>
      </c>
      <c r="AM67" s="3">
        <v>0.74009324009323996</v>
      </c>
      <c r="AN67" s="3">
        <v>1.2106815999999999E-2</v>
      </c>
      <c r="AO67" s="3">
        <v>1.6634769783783799E-2</v>
      </c>
      <c r="AP67" s="3">
        <v>1.4618632465116301E-2</v>
      </c>
      <c r="AQ67" s="3" t="s">
        <v>914</v>
      </c>
      <c r="AR67" s="3"/>
      <c r="AS67" s="3" t="s">
        <v>635</v>
      </c>
      <c r="AT67" s="3" t="s">
        <v>879</v>
      </c>
      <c r="AU67" s="4">
        <v>0.99</v>
      </c>
      <c r="AV67" s="5">
        <v>0.88829999999999998</v>
      </c>
      <c r="AW67" s="6"/>
      <c r="AX67" s="6"/>
    </row>
    <row r="68" spans="1:50" hidden="1" x14ac:dyDescent="0.2">
      <c r="A68" s="3" t="s">
        <v>475</v>
      </c>
      <c r="B68" s="3" t="s">
        <v>120</v>
      </c>
      <c r="C68" s="3">
        <v>372257862</v>
      </c>
      <c r="D68" s="3" t="s">
        <v>109</v>
      </c>
      <c r="E68" s="3" t="s">
        <v>59</v>
      </c>
      <c r="F68" s="3" t="s">
        <v>45</v>
      </c>
      <c r="G68" s="3" t="s">
        <v>45</v>
      </c>
      <c r="H68" s="3" t="s">
        <v>255</v>
      </c>
      <c r="I68" s="3" t="s">
        <v>432</v>
      </c>
      <c r="J68" s="20" t="s">
        <v>476</v>
      </c>
      <c r="K68" s="3">
        <v>3.26797385620914E-3</v>
      </c>
      <c r="L68" s="3">
        <v>306</v>
      </c>
      <c r="M68" s="3">
        <v>-4.94552483232391</v>
      </c>
      <c r="N68" s="20" t="s">
        <v>477</v>
      </c>
      <c r="O68" s="3">
        <v>3.6644918847047602E-4</v>
      </c>
      <c r="P68" s="3">
        <v>0</v>
      </c>
      <c r="Q68" s="3">
        <v>0</v>
      </c>
      <c r="R68" s="3">
        <v>0</v>
      </c>
      <c r="S68" s="3">
        <v>0</v>
      </c>
      <c r="T68" s="3">
        <v>0</v>
      </c>
      <c r="U68" s="3">
        <v>284</v>
      </c>
      <c r="V68" s="3">
        <v>0</v>
      </c>
      <c r="W68" s="3">
        <v>73</v>
      </c>
      <c r="X68" s="3">
        <v>0</v>
      </c>
      <c r="Y68" s="3">
        <v>0</v>
      </c>
      <c r="Z68" s="3">
        <v>0.204481792717087</v>
      </c>
      <c r="AA68" s="3">
        <v>0</v>
      </c>
      <c r="AB68" s="3">
        <v>0.795518207282913</v>
      </c>
      <c r="AC68" s="3">
        <v>0</v>
      </c>
      <c r="AD68" s="3">
        <v>0</v>
      </c>
      <c r="AE68" s="3">
        <v>0</v>
      </c>
      <c r="AF68" s="3">
        <v>0</v>
      </c>
      <c r="AG68" s="3">
        <v>0</v>
      </c>
      <c r="AH68" s="3">
        <v>0</v>
      </c>
      <c r="AI68" s="3">
        <v>0</v>
      </c>
      <c r="AJ68" s="3">
        <v>0</v>
      </c>
      <c r="AK68" s="3">
        <v>0.89775910364145695</v>
      </c>
      <c r="AL68" s="3">
        <v>0</v>
      </c>
      <c r="AM68" s="3">
        <v>0.102240896358543</v>
      </c>
      <c r="AN68" s="3" t="s">
        <v>55</v>
      </c>
      <c r="AO68" s="3">
        <v>1.5806451612903201</v>
      </c>
      <c r="AP68" s="3">
        <v>0.67622950819672101</v>
      </c>
      <c r="AQ68" s="3" t="s">
        <v>914</v>
      </c>
      <c r="AR68" s="3"/>
      <c r="AS68" s="3" t="s">
        <v>635</v>
      </c>
      <c r="AT68" s="3" t="s">
        <v>636</v>
      </c>
      <c r="AU68" s="4">
        <v>0.94</v>
      </c>
      <c r="AV68" s="5">
        <v>0.97370000000000001</v>
      </c>
      <c r="AW68" s="6"/>
      <c r="AX68" s="6"/>
    </row>
    <row r="69" spans="1:50" ht="42" hidden="1" x14ac:dyDescent="0.2">
      <c r="A69" s="3" t="s">
        <v>484</v>
      </c>
      <c r="B69" s="3" t="s">
        <v>100</v>
      </c>
      <c r="C69" s="3">
        <v>310863315</v>
      </c>
      <c r="D69" s="3" t="s">
        <v>260</v>
      </c>
      <c r="E69" s="3" t="s">
        <v>59</v>
      </c>
      <c r="F69" s="3" t="s">
        <v>53</v>
      </c>
      <c r="G69" s="3" t="s">
        <v>59</v>
      </c>
      <c r="H69" s="3" t="s">
        <v>255</v>
      </c>
      <c r="I69" s="3" t="s">
        <v>432</v>
      </c>
      <c r="J69" s="20" t="s">
        <v>485</v>
      </c>
      <c r="K69" s="3">
        <v>3.26797385620914E-3</v>
      </c>
      <c r="L69" s="3">
        <v>306</v>
      </c>
      <c r="M69" s="3">
        <v>-4.9770882873389004</v>
      </c>
      <c r="N69" s="20" t="s">
        <v>473</v>
      </c>
      <c r="O69" s="3">
        <v>2.3534658765490799E-4</v>
      </c>
      <c r="P69" s="3">
        <v>0</v>
      </c>
      <c r="Q69" s="3">
        <v>0</v>
      </c>
      <c r="R69" s="3">
        <v>223</v>
      </c>
      <c r="S69" s="3">
        <v>0</v>
      </c>
      <c r="T69" s="3">
        <v>0</v>
      </c>
      <c r="U69" s="3">
        <v>22</v>
      </c>
      <c r="V69" s="3">
        <v>0</v>
      </c>
      <c r="W69" s="3">
        <v>0</v>
      </c>
      <c r="X69" s="3">
        <v>112</v>
      </c>
      <c r="Y69" s="3">
        <v>0</v>
      </c>
      <c r="Z69" s="3">
        <v>0</v>
      </c>
      <c r="AA69" s="3">
        <v>0</v>
      </c>
      <c r="AB69" s="3">
        <v>6.1624649859944002E-2</v>
      </c>
      <c r="AC69" s="3">
        <v>0.31372549019607798</v>
      </c>
      <c r="AD69" s="3">
        <v>0.62464985994397804</v>
      </c>
      <c r="AE69" s="3">
        <v>0</v>
      </c>
      <c r="AF69" s="3">
        <v>0</v>
      </c>
      <c r="AG69" s="3">
        <v>0</v>
      </c>
      <c r="AH69" s="3">
        <v>0</v>
      </c>
      <c r="AI69" s="3">
        <v>0</v>
      </c>
      <c r="AJ69" s="3">
        <v>0.78151260504201703</v>
      </c>
      <c r="AK69" s="3">
        <v>0.218487394957983</v>
      </c>
      <c r="AL69" s="3">
        <v>0</v>
      </c>
      <c r="AM69" s="3">
        <v>0</v>
      </c>
      <c r="AN69" s="3">
        <v>0.66666666666666696</v>
      </c>
      <c r="AO69" s="3">
        <v>0.97872340425531901</v>
      </c>
      <c r="AP69" s="3">
        <v>0.81958762886597902</v>
      </c>
      <c r="AQ69" s="3" t="s">
        <v>770</v>
      </c>
      <c r="AR69" s="3" t="s">
        <v>771</v>
      </c>
      <c r="AS69" s="3" t="s">
        <v>913</v>
      </c>
      <c r="AT69" s="3"/>
      <c r="AU69" s="3"/>
      <c r="AV69" s="3"/>
      <c r="AW69" s="10" t="s">
        <v>772</v>
      </c>
      <c r="AX69" s="21" t="s">
        <v>773</v>
      </c>
    </row>
    <row r="70" spans="1:50" hidden="1" x14ac:dyDescent="0.2">
      <c r="A70" s="3" t="s">
        <v>498</v>
      </c>
      <c r="B70" s="3" t="s">
        <v>74</v>
      </c>
      <c r="C70" s="3">
        <v>171715235</v>
      </c>
      <c r="D70" s="3" t="s">
        <v>71</v>
      </c>
      <c r="E70" s="3" t="s">
        <v>59</v>
      </c>
      <c r="F70" s="3" t="s">
        <v>45</v>
      </c>
      <c r="G70" s="3" t="s">
        <v>59</v>
      </c>
      <c r="H70" s="3" t="s">
        <v>255</v>
      </c>
      <c r="I70" s="3" t="s">
        <v>432</v>
      </c>
      <c r="J70" s="20" t="s">
        <v>499</v>
      </c>
      <c r="K70" s="3">
        <v>1.63398692810457E-3</v>
      </c>
      <c r="L70" s="3">
        <v>306</v>
      </c>
      <c r="M70" s="3">
        <v>-19.384686394261799</v>
      </c>
      <c r="N70" s="20" t="s">
        <v>500</v>
      </c>
      <c r="O70" s="3">
        <v>1.06765946359377E-4</v>
      </c>
      <c r="P70" s="3">
        <v>0</v>
      </c>
      <c r="Q70" s="3">
        <v>0</v>
      </c>
      <c r="R70" s="3">
        <v>0</v>
      </c>
      <c r="S70" s="3">
        <v>0</v>
      </c>
      <c r="T70" s="3">
        <v>220</v>
      </c>
      <c r="U70" s="3">
        <v>50</v>
      </c>
      <c r="V70" s="3">
        <v>0</v>
      </c>
      <c r="W70" s="3">
        <v>87</v>
      </c>
      <c r="X70" s="3">
        <v>0</v>
      </c>
      <c r="Y70" s="3">
        <v>0</v>
      </c>
      <c r="Z70" s="3">
        <v>0.24369747899159699</v>
      </c>
      <c r="AA70" s="3">
        <v>0.61624649859944003</v>
      </c>
      <c r="AB70" s="3">
        <v>0.140056022408964</v>
      </c>
      <c r="AC70" s="3">
        <v>0</v>
      </c>
      <c r="AD70" s="3">
        <v>0</v>
      </c>
      <c r="AE70" s="3">
        <v>0</v>
      </c>
      <c r="AF70" s="3">
        <v>0</v>
      </c>
      <c r="AG70" s="3">
        <v>0</v>
      </c>
      <c r="AH70" s="3">
        <v>0</v>
      </c>
      <c r="AI70" s="3">
        <v>0</v>
      </c>
      <c r="AJ70" s="3">
        <v>0</v>
      </c>
      <c r="AK70" s="3">
        <v>0.26190476190476197</v>
      </c>
      <c r="AL70" s="3">
        <v>0</v>
      </c>
      <c r="AM70" s="3">
        <v>0.73809523809523803</v>
      </c>
      <c r="AN70" s="3">
        <v>1.3404255319148899</v>
      </c>
      <c r="AO70" s="3">
        <v>1.12676056338028</v>
      </c>
      <c r="AP70" s="3">
        <v>0.63829787234042601</v>
      </c>
      <c r="AQ70" s="3"/>
      <c r="AR70" s="3"/>
      <c r="AS70" s="3"/>
      <c r="AT70" s="3"/>
      <c r="AU70" s="3"/>
      <c r="AV70" s="3"/>
      <c r="AW70" s="6"/>
      <c r="AX70" s="6"/>
    </row>
    <row r="71" spans="1:50" ht="126" hidden="1" x14ac:dyDescent="0.2">
      <c r="A71" s="3" t="s">
        <v>478</v>
      </c>
      <c r="B71" s="3" t="s">
        <v>152</v>
      </c>
      <c r="C71" s="3">
        <v>137924226</v>
      </c>
      <c r="D71" s="3" t="s">
        <v>71</v>
      </c>
      <c r="E71" s="3" t="s">
        <v>45</v>
      </c>
      <c r="F71" s="3" t="s">
        <v>59</v>
      </c>
      <c r="G71" s="3" t="s">
        <v>59</v>
      </c>
      <c r="H71" s="3" t="s">
        <v>255</v>
      </c>
      <c r="I71" s="3" t="s">
        <v>432</v>
      </c>
      <c r="J71" s="20" t="s">
        <v>479</v>
      </c>
      <c r="K71" s="3">
        <v>6.53594771241828E-3</v>
      </c>
      <c r="L71" s="3">
        <v>306</v>
      </c>
      <c r="M71" s="3">
        <v>-3.6110712584659201</v>
      </c>
      <c r="N71" s="3">
        <v>2.0681605107497901E-4</v>
      </c>
      <c r="O71" s="20" t="s">
        <v>480</v>
      </c>
      <c r="P71" s="3">
        <v>0</v>
      </c>
      <c r="Q71" s="3">
        <v>0</v>
      </c>
      <c r="R71" s="3">
        <v>0</v>
      </c>
      <c r="S71" s="3">
        <v>0</v>
      </c>
      <c r="T71" s="3">
        <v>109</v>
      </c>
      <c r="U71" s="3">
        <v>85</v>
      </c>
      <c r="V71" s="3">
        <v>0</v>
      </c>
      <c r="W71" s="3">
        <v>163</v>
      </c>
      <c r="X71" s="3">
        <v>0</v>
      </c>
      <c r="Y71" s="3">
        <v>0</v>
      </c>
      <c r="Z71" s="3">
        <v>0.456582633053221</v>
      </c>
      <c r="AA71" s="3">
        <v>0.30532212885154097</v>
      </c>
      <c r="AB71" s="3">
        <v>0.238095238095238</v>
      </c>
      <c r="AC71" s="3">
        <v>0</v>
      </c>
      <c r="AD71" s="3">
        <v>0</v>
      </c>
      <c r="AE71" s="3">
        <v>0</v>
      </c>
      <c r="AF71" s="3">
        <v>0</v>
      </c>
      <c r="AG71" s="3">
        <v>0</v>
      </c>
      <c r="AH71" s="3">
        <v>0</v>
      </c>
      <c r="AI71" s="3">
        <v>0</v>
      </c>
      <c r="AJ71" s="3">
        <v>0</v>
      </c>
      <c r="AK71" s="3">
        <v>0.46638655462184903</v>
      </c>
      <c r="AL71" s="3">
        <v>0</v>
      </c>
      <c r="AM71" s="3">
        <v>0.53361344537815103</v>
      </c>
      <c r="AN71" s="3">
        <v>1.23188405797101</v>
      </c>
      <c r="AO71" s="3">
        <v>0.52857142857142903</v>
      </c>
      <c r="AP71" s="3">
        <v>1.07216494845361</v>
      </c>
      <c r="AQ71" s="3" t="s">
        <v>766</v>
      </c>
      <c r="AR71" s="3" t="s">
        <v>767</v>
      </c>
      <c r="AS71" s="3" t="s">
        <v>768</v>
      </c>
      <c r="AT71" s="3" t="s">
        <v>636</v>
      </c>
      <c r="AU71" s="4">
        <v>1</v>
      </c>
      <c r="AV71" s="5">
        <v>0.95069999999999999</v>
      </c>
      <c r="AW71" s="8" t="s">
        <v>769</v>
      </c>
      <c r="AX71" s="6" t="s">
        <v>924</v>
      </c>
    </row>
    <row r="72" spans="1:50" ht="70" hidden="1" x14ac:dyDescent="0.2">
      <c r="A72" s="3" t="s">
        <v>582</v>
      </c>
      <c r="B72" s="3" t="s">
        <v>224</v>
      </c>
      <c r="C72" s="3">
        <v>316869348</v>
      </c>
      <c r="D72" s="3" t="s">
        <v>225</v>
      </c>
      <c r="E72" s="3" t="s">
        <v>59</v>
      </c>
      <c r="F72" s="3" t="s">
        <v>46</v>
      </c>
      <c r="G72" s="3" t="s">
        <v>46</v>
      </c>
      <c r="H72" s="3" t="s">
        <v>382</v>
      </c>
      <c r="I72" s="3" t="s">
        <v>519</v>
      </c>
      <c r="J72" s="20" t="s">
        <v>583</v>
      </c>
      <c r="K72" s="3">
        <v>2.3291925465838501E-2</v>
      </c>
      <c r="L72" s="3">
        <v>322</v>
      </c>
      <c r="M72" s="3">
        <v>0.85163302113436901</v>
      </c>
      <c r="N72" s="20" t="s">
        <v>579</v>
      </c>
      <c r="O72" s="20" t="s">
        <v>584</v>
      </c>
      <c r="P72" s="3">
        <v>1</v>
      </c>
      <c r="Q72" s="3">
        <v>0</v>
      </c>
      <c r="R72" s="3">
        <v>0</v>
      </c>
      <c r="S72" s="3">
        <v>0</v>
      </c>
      <c r="T72" s="3">
        <v>0</v>
      </c>
      <c r="U72" s="3">
        <v>343</v>
      </c>
      <c r="V72" s="3">
        <v>13</v>
      </c>
      <c r="W72" s="3">
        <v>0</v>
      </c>
      <c r="X72" s="3">
        <v>0</v>
      </c>
      <c r="Y72" s="3">
        <v>0</v>
      </c>
      <c r="Z72" s="3">
        <v>0</v>
      </c>
      <c r="AA72" s="3">
        <v>0</v>
      </c>
      <c r="AB72" s="3">
        <v>0.96078431372549</v>
      </c>
      <c r="AC72" s="3">
        <v>0</v>
      </c>
      <c r="AD72" s="3">
        <v>0</v>
      </c>
      <c r="AE72" s="3">
        <v>0</v>
      </c>
      <c r="AF72" s="3">
        <v>2.80112044817927E-3</v>
      </c>
      <c r="AG72" s="3">
        <v>0</v>
      </c>
      <c r="AH72" s="3">
        <v>0</v>
      </c>
      <c r="AI72" s="3">
        <v>3.64145658263305E-2</v>
      </c>
      <c r="AJ72" s="3">
        <v>0</v>
      </c>
      <c r="AK72" s="3">
        <v>0.97899159663865598</v>
      </c>
      <c r="AL72" s="3">
        <v>2.1008403361344501E-2</v>
      </c>
      <c r="AM72" s="3">
        <v>0</v>
      </c>
      <c r="AN72" s="3">
        <v>0</v>
      </c>
      <c r="AO72" s="3">
        <v>1.6666666666666701E-2</v>
      </c>
      <c r="AP72" s="3">
        <v>4.9190938511326901E-2</v>
      </c>
      <c r="AQ72" s="3" t="s">
        <v>743</v>
      </c>
      <c r="AR72" s="3" t="s">
        <v>744</v>
      </c>
      <c r="AS72" s="3" t="s">
        <v>913</v>
      </c>
      <c r="AT72" s="3"/>
      <c r="AU72" s="3"/>
      <c r="AV72" s="3"/>
      <c r="AW72" s="8" t="s">
        <v>745</v>
      </c>
      <c r="AX72" s="6" t="s">
        <v>746</v>
      </c>
    </row>
    <row r="73" spans="1:50" ht="182" hidden="1" x14ac:dyDescent="0.2">
      <c r="A73" s="3" t="s">
        <v>518</v>
      </c>
      <c r="B73" s="3" t="s">
        <v>90</v>
      </c>
      <c r="C73" s="3">
        <v>517769933</v>
      </c>
      <c r="D73" s="3" t="s">
        <v>109</v>
      </c>
      <c r="E73" s="3" t="s">
        <v>59</v>
      </c>
      <c r="F73" s="3" t="s">
        <v>45</v>
      </c>
      <c r="G73" s="3" t="s">
        <v>45</v>
      </c>
      <c r="H73" s="3" t="s">
        <v>86</v>
      </c>
      <c r="I73" s="3" t="s">
        <v>519</v>
      </c>
      <c r="J73" s="20" t="s">
        <v>520</v>
      </c>
      <c r="K73" s="3">
        <v>9.3167701863353693E-3</v>
      </c>
      <c r="L73" s="3">
        <v>322</v>
      </c>
      <c r="M73" s="3">
        <v>-0.41363041836321401</v>
      </c>
      <c r="N73" s="3">
        <v>1.7546641648220299E-4</v>
      </c>
      <c r="O73" s="20" t="s">
        <v>521</v>
      </c>
      <c r="P73" s="3">
        <v>0</v>
      </c>
      <c r="Q73" s="3">
        <v>0</v>
      </c>
      <c r="R73" s="3">
        <v>0</v>
      </c>
      <c r="S73" s="3">
        <v>0</v>
      </c>
      <c r="T73" s="3">
        <v>6</v>
      </c>
      <c r="U73" s="3">
        <v>187</v>
      </c>
      <c r="V73" s="3">
        <v>0</v>
      </c>
      <c r="W73" s="3">
        <v>164</v>
      </c>
      <c r="X73" s="3">
        <v>0</v>
      </c>
      <c r="Y73" s="3">
        <v>0</v>
      </c>
      <c r="Z73" s="3">
        <v>0.45938375350140098</v>
      </c>
      <c r="AA73" s="3">
        <v>1.6806722689075598E-2</v>
      </c>
      <c r="AB73" s="3">
        <v>0.52380952380952395</v>
      </c>
      <c r="AC73" s="3">
        <v>0</v>
      </c>
      <c r="AD73" s="3">
        <v>0</v>
      </c>
      <c r="AE73" s="3">
        <v>0</v>
      </c>
      <c r="AF73" s="3">
        <v>0</v>
      </c>
      <c r="AG73" s="3">
        <v>0</v>
      </c>
      <c r="AH73" s="3">
        <v>0</v>
      </c>
      <c r="AI73" s="3">
        <v>0</v>
      </c>
      <c r="AJ73" s="3">
        <v>0</v>
      </c>
      <c r="AK73" s="3">
        <v>0.75350140056022397</v>
      </c>
      <c r="AL73" s="3">
        <v>0</v>
      </c>
      <c r="AM73" s="3">
        <v>0.24649859943977601</v>
      </c>
      <c r="AN73" s="3">
        <v>0.15</v>
      </c>
      <c r="AO73" s="3">
        <v>0.108965517241379</v>
      </c>
      <c r="AP73" s="3">
        <v>0.135672514619883</v>
      </c>
      <c r="AQ73" s="3" t="s">
        <v>698</v>
      </c>
      <c r="AR73" s="3" t="s">
        <v>699</v>
      </c>
      <c r="AS73" s="3" t="s">
        <v>700</v>
      </c>
      <c r="AT73" s="3" t="s">
        <v>636</v>
      </c>
      <c r="AU73" s="4">
        <v>1</v>
      </c>
      <c r="AV73" s="4">
        <v>0.99</v>
      </c>
      <c r="AW73" s="11" t="s">
        <v>701</v>
      </c>
      <c r="AX73" s="6" t="s">
        <v>917</v>
      </c>
    </row>
    <row r="74" spans="1:50" ht="70" hidden="1" x14ac:dyDescent="0.2">
      <c r="A74" s="3" t="s">
        <v>446</v>
      </c>
      <c r="B74" s="3" t="s">
        <v>70</v>
      </c>
      <c r="C74" s="3">
        <v>301996644</v>
      </c>
      <c r="D74" s="3" t="s">
        <v>67</v>
      </c>
      <c r="E74" s="3" t="s">
        <v>46</v>
      </c>
      <c r="F74" s="3" t="s">
        <v>53</v>
      </c>
      <c r="G74" s="3" t="s">
        <v>46</v>
      </c>
      <c r="H74" s="3" t="s">
        <v>86</v>
      </c>
      <c r="I74" s="3" t="s">
        <v>519</v>
      </c>
      <c r="J74" s="20" t="s">
        <v>532</v>
      </c>
      <c r="K74" s="3">
        <v>1.5527950310558799E-3</v>
      </c>
      <c r="L74" s="3">
        <v>322</v>
      </c>
      <c r="M74" s="3">
        <v>-2.2649164224387399</v>
      </c>
      <c r="N74" s="20" t="s">
        <v>533</v>
      </c>
      <c r="O74" s="20" t="s">
        <v>534</v>
      </c>
      <c r="P74" s="3">
        <v>0</v>
      </c>
      <c r="Q74" s="3">
        <v>18</v>
      </c>
      <c r="R74" s="3">
        <v>339</v>
      </c>
      <c r="S74" s="3">
        <v>0</v>
      </c>
      <c r="T74" s="3">
        <v>0</v>
      </c>
      <c r="U74" s="3">
        <v>0</v>
      </c>
      <c r="V74" s="3">
        <v>0</v>
      </c>
      <c r="W74" s="3">
        <v>0</v>
      </c>
      <c r="X74" s="3">
        <v>0</v>
      </c>
      <c r="Y74" s="3">
        <v>0</v>
      </c>
      <c r="Z74" s="3">
        <v>0</v>
      </c>
      <c r="AA74" s="3">
        <v>0</v>
      </c>
      <c r="AB74" s="3">
        <v>0</v>
      </c>
      <c r="AC74" s="3">
        <v>0</v>
      </c>
      <c r="AD74" s="3">
        <v>0.94957983193277296</v>
      </c>
      <c r="AE74" s="3">
        <v>5.0420168067226899E-2</v>
      </c>
      <c r="AF74" s="3">
        <v>0</v>
      </c>
      <c r="AG74" s="3">
        <v>0</v>
      </c>
      <c r="AH74" s="3">
        <v>0</v>
      </c>
      <c r="AI74" s="3">
        <v>0</v>
      </c>
      <c r="AJ74" s="3">
        <v>0.97478991596638698</v>
      </c>
      <c r="AK74" s="3">
        <v>0</v>
      </c>
      <c r="AL74" s="3">
        <v>2.5210084033613401E-2</v>
      </c>
      <c r="AM74" s="3">
        <v>0</v>
      </c>
      <c r="AN74" s="3" t="s">
        <v>55</v>
      </c>
      <c r="AO74" s="3">
        <v>5.5555555555555601E-2</v>
      </c>
      <c r="AP74" s="3">
        <v>0.127960526315789</v>
      </c>
      <c r="AQ74" s="3" t="s">
        <v>688</v>
      </c>
      <c r="AR74" s="3" t="s">
        <v>711</v>
      </c>
      <c r="AS74" s="3" t="s">
        <v>712</v>
      </c>
      <c r="AT74" s="3" t="s">
        <v>636</v>
      </c>
      <c r="AU74" s="4">
        <v>1</v>
      </c>
      <c r="AV74" s="5">
        <v>0.98009999999999997</v>
      </c>
      <c r="AW74" s="10" t="s">
        <v>691</v>
      </c>
      <c r="AX74" s="6" t="s">
        <v>692</v>
      </c>
    </row>
    <row r="75" spans="1:50" hidden="1" x14ac:dyDescent="0.2">
      <c r="A75" s="3" t="s">
        <v>107</v>
      </c>
      <c r="B75" s="3" t="s">
        <v>108</v>
      </c>
      <c r="C75" s="3">
        <v>478717202</v>
      </c>
      <c r="D75" s="3" t="s">
        <v>109</v>
      </c>
      <c r="E75" s="3" t="s">
        <v>45</v>
      </c>
      <c r="F75" s="3" t="s">
        <v>59</v>
      </c>
      <c r="G75" s="3" t="s">
        <v>45</v>
      </c>
      <c r="H75" s="3" t="s">
        <v>86</v>
      </c>
      <c r="I75" s="3" t="s">
        <v>48</v>
      </c>
      <c r="J75" s="20" t="s">
        <v>110</v>
      </c>
      <c r="K75" s="3">
        <v>1.1904761904761901E-2</v>
      </c>
      <c r="L75" s="3">
        <v>378</v>
      </c>
      <c r="M75" s="3">
        <v>-0.76355287420728502</v>
      </c>
      <c r="N75" s="3">
        <v>1.00471320743931E-4</v>
      </c>
      <c r="O75" s="20" t="s">
        <v>111</v>
      </c>
      <c r="P75" s="3">
        <v>0</v>
      </c>
      <c r="Q75" s="3">
        <v>0</v>
      </c>
      <c r="R75" s="3">
        <v>0</v>
      </c>
      <c r="S75" s="3">
        <v>0</v>
      </c>
      <c r="T75" s="3">
        <v>61</v>
      </c>
      <c r="U75" s="3">
        <v>63</v>
      </c>
      <c r="V75" s="3">
        <v>0</v>
      </c>
      <c r="W75" s="3">
        <v>305</v>
      </c>
      <c r="X75" s="3">
        <v>0</v>
      </c>
      <c r="Y75" s="3">
        <v>0</v>
      </c>
      <c r="Z75" s="3">
        <v>0.71095571095571097</v>
      </c>
      <c r="AA75" s="3">
        <v>0.14219114219114201</v>
      </c>
      <c r="AB75" s="3">
        <v>0.14685314685314699</v>
      </c>
      <c r="AC75" s="3">
        <v>0</v>
      </c>
      <c r="AD75" s="3">
        <v>0</v>
      </c>
      <c r="AE75" s="3">
        <v>0</v>
      </c>
      <c r="AF75" s="3">
        <v>0</v>
      </c>
      <c r="AG75" s="3">
        <v>0</v>
      </c>
      <c r="AH75" s="3">
        <v>0</v>
      </c>
      <c r="AI75" s="3">
        <v>0</v>
      </c>
      <c r="AJ75" s="3">
        <v>0</v>
      </c>
      <c r="AK75" s="3">
        <v>0.50233100233100203</v>
      </c>
      <c r="AL75" s="3">
        <v>0</v>
      </c>
      <c r="AM75" s="3">
        <v>0.49766899766899803</v>
      </c>
      <c r="AN75" s="3">
        <v>0.40943396226415102</v>
      </c>
      <c r="AO75" s="3">
        <v>0.55477941176470602</v>
      </c>
      <c r="AP75" s="3">
        <v>0.50943396226415105</v>
      </c>
      <c r="AQ75" s="3"/>
      <c r="AR75" s="3"/>
      <c r="AS75" s="3"/>
      <c r="AT75" s="3"/>
      <c r="AU75" s="3"/>
      <c r="AV75" s="3"/>
      <c r="AW75" s="6"/>
      <c r="AX75" s="6"/>
    </row>
    <row r="76" spans="1:50" ht="56" hidden="1" x14ac:dyDescent="0.2">
      <c r="A76" s="3" t="s">
        <v>122</v>
      </c>
      <c r="B76" s="3" t="s">
        <v>123</v>
      </c>
      <c r="C76" s="3">
        <v>546958441</v>
      </c>
      <c r="D76" s="3" t="s">
        <v>58</v>
      </c>
      <c r="E76" s="3" t="s">
        <v>46</v>
      </c>
      <c r="F76" s="3" t="s">
        <v>59</v>
      </c>
      <c r="G76" s="3" t="s">
        <v>59</v>
      </c>
      <c r="H76" s="3" t="s">
        <v>117</v>
      </c>
      <c r="I76" s="3" t="s">
        <v>48</v>
      </c>
      <c r="J76" s="20" t="s">
        <v>124</v>
      </c>
      <c r="K76" s="3">
        <v>0.27565632458233902</v>
      </c>
      <c r="L76" s="3">
        <v>419</v>
      </c>
      <c r="M76" s="3">
        <v>-8.4651390545905494E-2</v>
      </c>
      <c r="N76" s="3">
        <v>4.3575602073448898E-4</v>
      </c>
      <c r="O76" s="20" t="s">
        <v>125</v>
      </c>
      <c r="P76" s="3">
        <v>183</v>
      </c>
      <c r="Q76" s="3">
        <v>0</v>
      </c>
      <c r="R76" s="3">
        <v>0</v>
      </c>
      <c r="S76" s="3">
        <v>0</v>
      </c>
      <c r="T76" s="3">
        <v>0</v>
      </c>
      <c r="U76" s="3">
        <v>68</v>
      </c>
      <c r="V76" s="3">
        <v>178</v>
      </c>
      <c r="W76" s="3">
        <v>0</v>
      </c>
      <c r="X76" s="3">
        <v>0</v>
      </c>
      <c r="Y76" s="3">
        <v>0</v>
      </c>
      <c r="Z76" s="3">
        <v>0</v>
      </c>
      <c r="AA76" s="3">
        <v>0</v>
      </c>
      <c r="AB76" s="3">
        <v>0.158508158508158</v>
      </c>
      <c r="AC76" s="3">
        <v>0</v>
      </c>
      <c r="AD76" s="3">
        <v>0</v>
      </c>
      <c r="AE76" s="3">
        <v>0</v>
      </c>
      <c r="AF76" s="3">
        <v>0.42657342657342701</v>
      </c>
      <c r="AG76" s="3">
        <v>0</v>
      </c>
      <c r="AH76" s="3">
        <v>0</v>
      </c>
      <c r="AI76" s="3">
        <v>0.41491841491841502</v>
      </c>
      <c r="AJ76" s="3">
        <v>0</v>
      </c>
      <c r="AK76" s="3">
        <v>0.36596736596736601</v>
      </c>
      <c r="AL76" s="3">
        <v>0.63403263403263399</v>
      </c>
      <c r="AM76" s="3">
        <v>0</v>
      </c>
      <c r="AN76" s="3">
        <v>0.14477611940298499</v>
      </c>
      <c r="AO76" s="3">
        <v>0.151149425287356</v>
      </c>
      <c r="AP76" s="3">
        <v>0.11685393258427</v>
      </c>
      <c r="AQ76" s="3" t="s">
        <v>914</v>
      </c>
      <c r="AR76" s="3"/>
      <c r="AS76" s="3" t="s">
        <v>788</v>
      </c>
      <c r="AT76" s="3" t="s">
        <v>636</v>
      </c>
      <c r="AU76" s="4">
        <v>1</v>
      </c>
      <c r="AV76" s="5">
        <v>0.94030000000000002</v>
      </c>
      <c r="AW76" s="10" t="s">
        <v>789</v>
      </c>
      <c r="AX76" s="6" t="s">
        <v>790</v>
      </c>
    </row>
    <row r="77" spans="1:50" ht="70" hidden="1" x14ac:dyDescent="0.2">
      <c r="A77" s="3" t="s">
        <v>362</v>
      </c>
      <c r="B77" s="3" t="s">
        <v>74</v>
      </c>
      <c r="C77" s="3">
        <v>70280031</v>
      </c>
      <c r="D77" s="3" t="s">
        <v>109</v>
      </c>
      <c r="E77" s="3" t="s">
        <v>59</v>
      </c>
      <c r="F77" s="3" t="s">
        <v>45</v>
      </c>
      <c r="G77" s="3" t="s">
        <v>45</v>
      </c>
      <c r="H77" s="3" t="s">
        <v>86</v>
      </c>
      <c r="I77" s="3" t="s">
        <v>338</v>
      </c>
      <c r="J77" s="20" t="s">
        <v>363</v>
      </c>
      <c r="K77" s="3">
        <v>0.28205128205128199</v>
      </c>
      <c r="L77" s="3">
        <v>312</v>
      </c>
      <c r="M77" s="3">
        <v>-6.1940266313559098</v>
      </c>
      <c r="N77" s="3">
        <v>1.0567443128084099E-3</v>
      </c>
      <c r="O77" s="20" t="s">
        <v>364</v>
      </c>
      <c r="P77" s="3">
        <v>0</v>
      </c>
      <c r="Q77" s="3">
        <v>0</v>
      </c>
      <c r="R77" s="3">
        <v>0</v>
      </c>
      <c r="S77" s="3">
        <v>0</v>
      </c>
      <c r="T77" s="3">
        <v>0</v>
      </c>
      <c r="U77" s="3">
        <v>239</v>
      </c>
      <c r="V77" s="3">
        <v>0</v>
      </c>
      <c r="W77" s="3">
        <v>125</v>
      </c>
      <c r="X77" s="3">
        <v>0</v>
      </c>
      <c r="Y77" s="3">
        <v>0</v>
      </c>
      <c r="Z77" s="3">
        <v>0.34340659340659302</v>
      </c>
      <c r="AA77" s="3">
        <v>0</v>
      </c>
      <c r="AB77" s="3">
        <v>0.65659340659340704</v>
      </c>
      <c r="AC77" s="3">
        <v>0</v>
      </c>
      <c r="AD77" s="3">
        <v>0</v>
      </c>
      <c r="AE77" s="3">
        <v>0</v>
      </c>
      <c r="AF77" s="3">
        <v>0</v>
      </c>
      <c r="AG77" s="3">
        <v>0</v>
      </c>
      <c r="AH77" s="3">
        <v>0</v>
      </c>
      <c r="AI77" s="3">
        <v>0</v>
      </c>
      <c r="AJ77" s="3">
        <v>0</v>
      </c>
      <c r="AK77" s="3">
        <v>0.82829670329670302</v>
      </c>
      <c r="AL77" s="3">
        <v>0</v>
      </c>
      <c r="AM77" s="3">
        <v>0.17170329670329701</v>
      </c>
      <c r="AN77" s="3" t="s">
        <v>55</v>
      </c>
      <c r="AO77" s="3">
        <v>19.751923076923099</v>
      </c>
      <c r="AP77" s="3">
        <v>19.226442307692299</v>
      </c>
      <c r="AQ77" s="3" t="s">
        <v>914</v>
      </c>
      <c r="AR77" s="3"/>
      <c r="AS77" s="3" t="s">
        <v>670</v>
      </c>
      <c r="AT77" s="3" t="s">
        <v>653</v>
      </c>
      <c r="AU77" s="4">
        <v>1</v>
      </c>
      <c r="AV77" s="5">
        <v>0.90200000000000002</v>
      </c>
      <c r="AW77" s="10" t="s">
        <v>671</v>
      </c>
      <c r="AX77" s="6" t="s">
        <v>672</v>
      </c>
    </row>
    <row r="78" spans="1:50" hidden="1" x14ac:dyDescent="0.2">
      <c r="A78" s="3" t="s">
        <v>62</v>
      </c>
      <c r="B78" s="3" t="s">
        <v>57</v>
      </c>
      <c r="C78" s="3">
        <v>598048237</v>
      </c>
      <c r="D78" s="3" t="s">
        <v>52</v>
      </c>
      <c r="E78" s="3" t="s">
        <v>46</v>
      </c>
      <c r="F78" s="3" t="s">
        <v>53</v>
      </c>
      <c r="G78" s="3" t="s">
        <v>53</v>
      </c>
      <c r="H78" s="3" t="s">
        <v>47</v>
      </c>
      <c r="I78" s="3" t="s">
        <v>48</v>
      </c>
      <c r="J78" s="20" t="s">
        <v>63</v>
      </c>
      <c r="K78" s="3">
        <v>0.47016706443914102</v>
      </c>
      <c r="L78" s="3">
        <v>419</v>
      </c>
      <c r="M78" s="3">
        <v>-2.6052389060132498E-2</v>
      </c>
      <c r="N78" s="20" t="s">
        <v>61</v>
      </c>
      <c r="O78" s="20" t="s">
        <v>64</v>
      </c>
      <c r="P78" s="3">
        <v>423</v>
      </c>
      <c r="Q78" s="3">
        <v>6</v>
      </c>
      <c r="R78" s="3">
        <v>0</v>
      </c>
      <c r="S78" s="3">
        <v>0</v>
      </c>
      <c r="T78" s="3">
        <v>0</v>
      </c>
      <c r="U78" s="3">
        <v>0</v>
      </c>
      <c r="V78" s="3">
        <v>0</v>
      </c>
      <c r="W78" s="3">
        <v>0</v>
      </c>
      <c r="X78" s="3">
        <v>0</v>
      </c>
      <c r="Y78" s="3">
        <v>0</v>
      </c>
      <c r="Z78" s="3">
        <v>0</v>
      </c>
      <c r="AA78" s="3">
        <v>0</v>
      </c>
      <c r="AB78" s="3">
        <v>0</v>
      </c>
      <c r="AC78" s="3">
        <v>0</v>
      </c>
      <c r="AD78" s="3">
        <v>0</v>
      </c>
      <c r="AE78" s="3">
        <v>1.3986013986014E-2</v>
      </c>
      <c r="AF78" s="3">
        <v>0.98601398601398604</v>
      </c>
      <c r="AG78" s="3">
        <v>0</v>
      </c>
      <c r="AH78" s="3">
        <v>0</v>
      </c>
      <c r="AI78" s="3">
        <v>0</v>
      </c>
      <c r="AJ78" s="3">
        <v>6.9930069930069904E-3</v>
      </c>
      <c r="AK78" s="3">
        <v>0</v>
      </c>
      <c r="AL78" s="3">
        <v>0.99300699300699302</v>
      </c>
      <c r="AM78" s="3">
        <v>0</v>
      </c>
      <c r="AN78" s="3" t="s">
        <v>55</v>
      </c>
      <c r="AO78" s="3">
        <v>0.65637013499999997</v>
      </c>
      <c r="AP78" s="3">
        <v>0.69745138716707</v>
      </c>
      <c r="AQ78" s="3"/>
      <c r="AR78" s="3"/>
      <c r="AS78" s="3"/>
      <c r="AT78" s="3"/>
      <c r="AU78" s="3"/>
      <c r="AV78" s="3"/>
      <c r="AW78" s="6"/>
      <c r="AX78" s="6"/>
    </row>
    <row r="79" spans="1:50" hidden="1" x14ac:dyDescent="0.2">
      <c r="A79" s="3" t="s">
        <v>348</v>
      </c>
      <c r="B79" s="3" t="s">
        <v>77</v>
      </c>
      <c r="C79" s="3">
        <v>452036252</v>
      </c>
      <c r="D79" s="3" t="s">
        <v>225</v>
      </c>
      <c r="E79" s="3" t="s">
        <v>59</v>
      </c>
      <c r="F79" s="3" t="s">
        <v>46</v>
      </c>
      <c r="G79" s="3" t="s">
        <v>59</v>
      </c>
      <c r="H79" s="3" t="s">
        <v>86</v>
      </c>
      <c r="I79" s="3" t="s">
        <v>519</v>
      </c>
      <c r="J79" s="20" t="s">
        <v>535</v>
      </c>
      <c r="K79" s="3">
        <v>6.2111801242236099E-3</v>
      </c>
      <c r="L79" s="3">
        <v>322</v>
      </c>
      <c r="M79" s="3">
        <v>-0.33928044923157502</v>
      </c>
      <c r="N79" s="20" t="s">
        <v>536</v>
      </c>
      <c r="O79" s="20" t="s">
        <v>537</v>
      </c>
      <c r="P79" s="3">
        <v>88</v>
      </c>
      <c r="Q79" s="3">
        <v>0</v>
      </c>
      <c r="R79" s="3">
        <v>0</v>
      </c>
      <c r="S79" s="3">
        <v>0</v>
      </c>
      <c r="T79" s="3">
        <v>0</v>
      </c>
      <c r="U79" s="3">
        <v>87</v>
      </c>
      <c r="V79" s="3">
        <v>182</v>
      </c>
      <c r="W79" s="3">
        <v>0</v>
      </c>
      <c r="X79" s="3">
        <v>0</v>
      </c>
      <c r="Y79" s="3">
        <v>0</v>
      </c>
      <c r="Z79" s="3">
        <v>0</v>
      </c>
      <c r="AA79" s="3">
        <v>0</v>
      </c>
      <c r="AB79" s="3">
        <v>0.24369747899159699</v>
      </c>
      <c r="AC79" s="3">
        <v>0</v>
      </c>
      <c r="AD79" s="3">
        <v>0</v>
      </c>
      <c r="AE79" s="3">
        <v>0</v>
      </c>
      <c r="AF79" s="3">
        <v>0.24649859943977601</v>
      </c>
      <c r="AG79" s="3">
        <v>0</v>
      </c>
      <c r="AH79" s="3">
        <v>0</v>
      </c>
      <c r="AI79" s="3">
        <v>0.50980392156862697</v>
      </c>
      <c r="AJ79" s="3">
        <v>0</v>
      </c>
      <c r="AK79" s="3">
        <v>0.49859943977590998</v>
      </c>
      <c r="AL79" s="3">
        <v>0.50140056022408996</v>
      </c>
      <c r="AM79" s="3">
        <v>0</v>
      </c>
      <c r="AN79" s="3">
        <v>0.18461538461538499</v>
      </c>
      <c r="AO79" s="3">
        <v>0.111377245508982</v>
      </c>
      <c r="AP79" s="3">
        <v>8.9610389610389599E-2</v>
      </c>
      <c r="AQ79" s="3"/>
      <c r="AR79" s="3"/>
      <c r="AS79" s="3"/>
      <c r="AT79" s="3"/>
      <c r="AU79" s="3"/>
      <c r="AV79" s="3"/>
      <c r="AW79" s="6"/>
      <c r="AX79" s="6"/>
    </row>
    <row r="80" spans="1:50" hidden="1" x14ac:dyDescent="0.2">
      <c r="A80" s="3" t="s">
        <v>99</v>
      </c>
      <c r="B80" s="3" t="s">
        <v>100</v>
      </c>
      <c r="C80" s="3">
        <v>332031903</v>
      </c>
      <c r="D80" s="3" t="s">
        <v>67</v>
      </c>
      <c r="E80" s="3" t="s">
        <v>53</v>
      </c>
      <c r="F80" s="3" t="s">
        <v>46</v>
      </c>
      <c r="G80" s="3" t="s">
        <v>46</v>
      </c>
      <c r="H80" s="3" t="s">
        <v>86</v>
      </c>
      <c r="I80" s="3" t="s">
        <v>48</v>
      </c>
      <c r="J80" s="20" t="s">
        <v>101</v>
      </c>
      <c r="K80" s="3">
        <v>1.9841269841269899E-2</v>
      </c>
      <c r="L80" s="3">
        <v>378</v>
      </c>
      <c r="M80" s="3">
        <v>-0.66256436173536104</v>
      </c>
      <c r="N80" s="20" t="s">
        <v>102</v>
      </c>
      <c r="O80" s="20" t="s">
        <v>103</v>
      </c>
      <c r="P80" s="3">
        <v>60</v>
      </c>
      <c r="Q80" s="3">
        <v>141</v>
      </c>
      <c r="R80" s="3">
        <v>228</v>
      </c>
      <c r="S80" s="3">
        <v>0</v>
      </c>
      <c r="T80" s="3">
        <v>0</v>
      </c>
      <c r="U80" s="3">
        <v>0</v>
      </c>
      <c r="V80" s="3">
        <v>0</v>
      </c>
      <c r="W80" s="3">
        <v>0</v>
      </c>
      <c r="X80" s="3">
        <v>0</v>
      </c>
      <c r="Y80" s="3">
        <v>0</v>
      </c>
      <c r="Z80" s="3">
        <v>0</v>
      </c>
      <c r="AA80" s="3">
        <v>0</v>
      </c>
      <c r="AB80" s="3">
        <v>0</v>
      </c>
      <c r="AC80" s="3">
        <v>0</v>
      </c>
      <c r="AD80" s="3">
        <v>0.53146853146853101</v>
      </c>
      <c r="AE80" s="3">
        <v>0.32867132867132898</v>
      </c>
      <c r="AF80" s="3">
        <v>0.13986013986014001</v>
      </c>
      <c r="AG80" s="3">
        <v>0</v>
      </c>
      <c r="AH80" s="3">
        <v>0</v>
      </c>
      <c r="AI80" s="3">
        <v>0</v>
      </c>
      <c r="AJ80" s="3">
        <v>0.69580419580419595</v>
      </c>
      <c r="AK80" s="3">
        <v>0</v>
      </c>
      <c r="AL80" s="3">
        <v>0.304195804195804</v>
      </c>
      <c r="AM80" s="3">
        <v>0</v>
      </c>
      <c r="AN80" s="3">
        <v>0.56851851851851898</v>
      </c>
      <c r="AO80" s="3">
        <v>0.55901639344262299</v>
      </c>
      <c r="AP80" s="3">
        <v>0.49851485148514901</v>
      </c>
      <c r="AQ80" s="3"/>
      <c r="AR80" s="3"/>
      <c r="AS80" s="3"/>
      <c r="AT80" s="3"/>
      <c r="AU80" s="3"/>
      <c r="AV80" s="3"/>
      <c r="AW80" s="6"/>
      <c r="AX80" s="6"/>
    </row>
    <row r="81" spans="1:50" hidden="1" x14ac:dyDescent="0.2">
      <c r="A81" s="3" t="s">
        <v>112</v>
      </c>
      <c r="B81" s="3" t="s">
        <v>113</v>
      </c>
      <c r="C81" s="3">
        <v>664789157</v>
      </c>
      <c r="D81" s="3" t="s">
        <v>67</v>
      </c>
      <c r="E81" s="3" t="s">
        <v>53</v>
      </c>
      <c r="F81" s="3" t="s">
        <v>46</v>
      </c>
      <c r="G81" s="3" t="s">
        <v>46</v>
      </c>
      <c r="H81" s="3" t="s">
        <v>86</v>
      </c>
      <c r="I81" s="3" t="s">
        <v>48</v>
      </c>
      <c r="J81" s="20" t="s">
        <v>114</v>
      </c>
      <c r="K81" s="3">
        <v>9.2592592592593004E-3</v>
      </c>
      <c r="L81" s="3">
        <v>378</v>
      </c>
      <c r="M81" s="3">
        <v>-0.75020015709810295</v>
      </c>
      <c r="N81" s="3">
        <v>3.7062069056304999E-3</v>
      </c>
      <c r="O81" s="20" t="s">
        <v>115</v>
      </c>
      <c r="P81" s="3">
        <v>1</v>
      </c>
      <c r="Q81" s="3">
        <v>6</v>
      </c>
      <c r="R81" s="3">
        <v>422</v>
      </c>
      <c r="S81" s="3">
        <v>0</v>
      </c>
      <c r="T81" s="3">
        <v>0</v>
      </c>
      <c r="U81" s="3">
        <v>0</v>
      </c>
      <c r="V81" s="3">
        <v>0</v>
      </c>
      <c r="W81" s="3">
        <v>0</v>
      </c>
      <c r="X81" s="3">
        <v>0</v>
      </c>
      <c r="Y81" s="3">
        <v>0</v>
      </c>
      <c r="Z81" s="3">
        <v>0</v>
      </c>
      <c r="AA81" s="3">
        <v>0</v>
      </c>
      <c r="AB81" s="3">
        <v>0</v>
      </c>
      <c r="AC81" s="3">
        <v>0</v>
      </c>
      <c r="AD81" s="3">
        <v>0.98368298368298401</v>
      </c>
      <c r="AE81" s="3">
        <v>1.3986013986014E-2</v>
      </c>
      <c r="AF81" s="3">
        <v>2.3310023310023301E-3</v>
      </c>
      <c r="AG81" s="3">
        <v>0</v>
      </c>
      <c r="AH81" s="3">
        <v>0</v>
      </c>
      <c r="AI81" s="3">
        <v>0</v>
      </c>
      <c r="AJ81" s="3">
        <v>0.99067599067599099</v>
      </c>
      <c r="AK81" s="3">
        <v>0</v>
      </c>
      <c r="AL81" s="3">
        <v>9.3240093240093205E-3</v>
      </c>
      <c r="AM81" s="3">
        <v>0</v>
      </c>
      <c r="AN81" s="3">
        <v>1</v>
      </c>
      <c r="AO81" s="3">
        <v>0.82</v>
      </c>
      <c r="AP81" s="3">
        <v>0.52284946236559104</v>
      </c>
      <c r="AQ81" s="3"/>
      <c r="AR81" s="3"/>
      <c r="AS81" s="3"/>
      <c r="AT81" s="3"/>
      <c r="AU81" s="3"/>
      <c r="AV81" s="3"/>
      <c r="AW81" s="6"/>
      <c r="AX81" s="6"/>
    </row>
    <row r="82" spans="1:50" hidden="1" x14ac:dyDescent="0.2">
      <c r="A82" s="3" t="s">
        <v>565</v>
      </c>
      <c r="B82" s="3" t="s">
        <v>70</v>
      </c>
      <c r="C82" s="3">
        <v>39851932</v>
      </c>
      <c r="D82" s="3" t="s">
        <v>52</v>
      </c>
      <c r="E82" s="3" t="s">
        <v>53</v>
      </c>
      <c r="F82" s="3" t="s">
        <v>46</v>
      </c>
      <c r="G82" s="3" t="s">
        <v>53</v>
      </c>
      <c r="H82" s="3" t="s">
        <v>234</v>
      </c>
      <c r="I82" s="3" t="s">
        <v>519</v>
      </c>
      <c r="J82" s="20" t="s">
        <v>566</v>
      </c>
      <c r="K82" s="3">
        <v>3.2208588957055299E-2</v>
      </c>
      <c r="L82" s="3">
        <v>326</v>
      </c>
      <c r="M82" s="3">
        <v>-5.2305124486642098</v>
      </c>
      <c r="N82" s="3">
        <v>1.3374066199402001E-3</v>
      </c>
      <c r="O82" s="20" t="s">
        <v>567</v>
      </c>
      <c r="P82" s="3">
        <v>351</v>
      </c>
      <c r="Q82" s="3">
        <v>6</v>
      </c>
      <c r="R82" s="3">
        <v>0</v>
      </c>
      <c r="S82" s="3">
        <v>0</v>
      </c>
      <c r="T82" s="3">
        <v>0</v>
      </c>
      <c r="U82" s="3">
        <v>0</v>
      </c>
      <c r="V82" s="3">
        <v>0</v>
      </c>
      <c r="W82" s="3">
        <v>0</v>
      </c>
      <c r="X82" s="3">
        <v>0</v>
      </c>
      <c r="Y82" s="3">
        <v>0</v>
      </c>
      <c r="Z82" s="3">
        <v>0</v>
      </c>
      <c r="AA82" s="3">
        <v>0</v>
      </c>
      <c r="AB82" s="3">
        <v>0</v>
      </c>
      <c r="AC82" s="3">
        <v>0</v>
      </c>
      <c r="AD82" s="3">
        <v>0</v>
      </c>
      <c r="AE82" s="3">
        <v>1.6806722689075598E-2</v>
      </c>
      <c r="AF82" s="3">
        <v>0.98319327731092399</v>
      </c>
      <c r="AG82" s="3">
        <v>0</v>
      </c>
      <c r="AH82" s="3">
        <v>0</v>
      </c>
      <c r="AI82" s="3">
        <v>0</v>
      </c>
      <c r="AJ82" s="3">
        <v>8.4033613445378096E-3</v>
      </c>
      <c r="AK82" s="3">
        <v>0</v>
      </c>
      <c r="AL82" s="3">
        <v>0.99159663865546199</v>
      </c>
      <c r="AM82" s="3">
        <v>0</v>
      </c>
      <c r="AN82" s="3" t="s">
        <v>55</v>
      </c>
      <c r="AO82" s="3">
        <v>2.8</v>
      </c>
      <c r="AP82" s="3">
        <v>5.2024922118380097</v>
      </c>
      <c r="AQ82" s="3"/>
      <c r="AR82" s="3"/>
      <c r="AS82" s="3"/>
      <c r="AT82" s="3"/>
      <c r="AU82" s="3"/>
      <c r="AV82" s="3"/>
      <c r="AW82" s="6"/>
      <c r="AX82" s="6"/>
    </row>
    <row r="83" spans="1:50" hidden="1" x14ac:dyDescent="0.2">
      <c r="A83" s="3" t="s">
        <v>501</v>
      </c>
      <c r="B83" s="3" t="s">
        <v>81</v>
      </c>
      <c r="C83" s="3">
        <v>112867423</v>
      </c>
      <c r="D83" s="3" t="s">
        <v>44</v>
      </c>
      <c r="E83" s="3" t="s">
        <v>45</v>
      </c>
      <c r="F83" s="3" t="s">
        <v>46</v>
      </c>
      <c r="G83" s="3" t="s">
        <v>46</v>
      </c>
      <c r="H83" s="3" t="s">
        <v>255</v>
      </c>
      <c r="I83" s="3" t="s">
        <v>432</v>
      </c>
      <c r="J83" s="20" t="s">
        <v>502</v>
      </c>
      <c r="K83" s="3">
        <v>1.63398692810457E-3</v>
      </c>
      <c r="L83" s="3">
        <v>306</v>
      </c>
      <c r="M83" s="3">
        <v>-22.396640930894399</v>
      </c>
      <c r="N83" s="20" t="s">
        <v>503</v>
      </c>
      <c r="O83" s="20" t="s">
        <v>504</v>
      </c>
      <c r="P83" s="3">
        <v>77</v>
      </c>
      <c r="Q83" s="3">
        <v>0</v>
      </c>
      <c r="R83" s="3">
        <v>0</v>
      </c>
      <c r="S83" s="3">
        <v>119</v>
      </c>
      <c r="T83" s="3">
        <v>161</v>
      </c>
      <c r="U83" s="3">
        <v>0</v>
      </c>
      <c r="V83" s="3">
        <v>0</v>
      </c>
      <c r="W83" s="3">
        <v>0</v>
      </c>
      <c r="X83" s="3">
        <v>0</v>
      </c>
      <c r="Y83" s="3">
        <v>0</v>
      </c>
      <c r="Z83" s="3">
        <v>0</v>
      </c>
      <c r="AA83" s="3">
        <v>0.45098039215686297</v>
      </c>
      <c r="AB83" s="3">
        <v>0</v>
      </c>
      <c r="AC83" s="3">
        <v>0</v>
      </c>
      <c r="AD83" s="3">
        <v>0</v>
      </c>
      <c r="AE83" s="3">
        <v>0</v>
      </c>
      <c r="AF83" s="3">
        <v>0.21568627450980399</v>
      </c>
      <c r="AG83" s="3">
        <v>0.33333333333333298</v>
      </c>
      <c r="AH83" s="3">
        <v>0</v>
      </c>
      <c r="AI83" s="3">
        <v>0</v>
      </c>
      <c r="AJ83" s="3">
        <v>0</v>
      </c>
      <c r="AK83" s="3">
        <v>0</v>
      </c>
      <c r="AL83" s="3">
        <v>0.38235294117647101</v>
      </c>
      <c r="AM83" s="3">
        <v>0.61764705882352999</v>
      </c>
      <c r="AN83" s="3">
        <v>0.609375</v>
      </c>
      <c r="AO83" s="3">
        <v>1</v>
      </c>
      <c r="AP83" s="3">
        <v>0.87323943661971803</v>
      </c>
      <c r="AQ83" s="3"/>
      <c r="AR83" s="3"/>
      <c r="AS83" s="3"/>
      <c r="AT83" s="3"/>
      <c r="AU83" s="3"/>
      <c r="AV83" s="3"/>
      <c r="AW83" s="6"/>
      <c r="AX83" s="6"/>
    </row>
    <row r="84" spans="1:50" ht="56" hidden="1" x14ac:dyDescent="0.2">
      <c r="A84" s="3" t="s">
        <v>80</v>
      </c>
      <c r="B84" s="3" t="s">
        <v>81</v>
      </c>
      <c r="C84" s="3">
        <v>80560865</v>
      </c>
      <c r="D84" s="3" t="s">
        <v>71</v>
      </c>
      <c r="E84" s="3" t="s">
        <v>45</v>
      </c>
      <c r="F84" s="3" t="s">
        <v>59</v>
      </c>
      <c r="G84" s="3" t="s">
        <v>59</v>
      </c>
      <c r="H84" s="3" t="s">
        <v>47</v>
      </c>
      <c r="I84" s="3" t="s">
        <v>48</v>
      </c>
      <c r="J84" s="20" t="s">
        <v>82</v>
      </c>
      <c r="K84" s="3">
        <v>1.1933174224343401E-3</v>
      </c>
      <c r="L84" s="3">
        <v>419</v>
      </c>
      <c r="M84" s="3">
        <v>-0.352994336462984</v>
      </c>
      <c r="N84" s="3">
        <v>7.53087924186865E-4</v>
      </c>
      <c r="O84" s="20" t="s">
        <v>83</v>
      </c>
      <c r="P84" s="3">
        <v>0</v>
      </c>
      <c r="Q84" s="3">
        <v>0</v>
      </c>
      <c r="R84" s="3">
        <v>0</v>
      </c>
      <c r="S84" s="3">
        <v>0</v>
      </c>
      <c r="T84" s="3">
        <v>188</v>
      </c>
      <c r="U84" s="3">
        <v>67</v>
      </c>
      <c r="V84" s="3">
        <v>0</v>
      </c>
      <c r="W84" s="3">
        <v>174</v>
      </c>
      <c r="X84" s="3">
        <v>0</v>
      </c>
      <c r="Y84" s="3">
        <v>0</v>
      </c>
      <c r="Z84" s="3">
        <v>0.40559440559440602</v>
      </c>
      <c r="AA84" s="3">
        <v>0.43822843822843799</v>
      </c>
      <c r="AB84" s="3">
        <v>0.156177156177156</v>
      </c>
      <c r="AC84" s="3">
        <v>0</v>
      </c>
      <c r="AD84" s="3">
        <v>0</v>
      </c>
      <c r="AE84" s="3">
        <v>0</v>
      </c>
      <c r="AF84" s="3">
        <v>0</v>
      </c>
      <c r="AG84" s="3">
        <v>0</v>
      </c>
      <c r="AH84" s="3">
        <v>0</v>
      </c>
      <c r="AI84" s="3">
        <v>0</v>
      </c>
      <c r="AJ84" s="3">
        <v>0</v>
      </c>
      <c r="AK84" s="3">
        <v>0.35897435897435898</v>
      </c>
      <c r="AL84" s="3">
        <v>0</v>
      </c>
      <c r="AM84" s="3">
        <v>0.64102564102564097</v>
      </c>
      <c r="AN84" s="3">
        <v>0.69963511749999996</v>
      </c>
      <c r="AO84" s="3">
        <v>0.6948230174269</v>
      </c>
      <c r="AP84" s="3">
        <v>0.69779489244565196</v>
      </c>
      <c r="AQ84" s="3" t="s">
        <v>914</v>
      </c>
      <c r="AR84" s="3"/>
      <c r="AS84" s="3" t="s">
        <v>842</v>
      </c>
      <c r="AT84" s="3" t="s">
        <v>636</v>
      </c>
      <c r="AU84" s="4">
        <v>1</v>
      </c>
      <c r="AV84" s="5">
        <v>0.89549999999999996</v>
      </c>
      <c r="AW84" s="17" t="s">
        <v>843</v>
      </c>
      <c r="AX84" s="6" t="s">
        <v>844</v>
      </c>
    </row>
    <row r="85" spans="1:50" hidden="1" x14ac:dyDescent="0.2">
      <c r="A85" s="3" t="s">
        <v>84</v>
      </c>
      <c r="B85" s="3" t="s">
        <v>43</v>
      </c>
      <c r="C85" s="3">
        <v>320309248</v>
      </c>
      <c r="D85" s="3" t="s">
        <v>85</v>
      </c>
      <c r="E85" s="3" t="s">
        <v>53</v>
      </c>
      <c r="F85" s="3" t="s">
        <v>45</v>
      </c>
      <c r="G85" s="3" t="s">
        <v>45</v>
      </c>
      <c r="H85" s="3" t="s">
        <v>86</v>
      </c>
      <c r="I85" s="3" t="s">
        <v>48</v>
      </c>
      <c r="J85" s="20" t="s">
        <v>87</v>
      </c>
      <c r="K85" s="3">
        <v>0.37566137566137597</v>
      </c>
      <c r="L85" s="3">
        <v>378</v>
      </c>
      <c r="M85" s="3">
        <v>0.13958984393145499</v>
      </c>
      <c r="N85" s="3">
        <v>1.6790200920059801E-4</v>
      </c>
      <c r="O85" s="20" t="s">
        <v>88</v>
      </c>
      <c r="P85" s="3">
        <v>0</v>
      </c>
      <c r="Q85" s="3">
        <v>0</v>
      </c>
      <c r="R85" s="3">
        <v>186</v>
      </c>
      <c r="S85" s="3">
        <v>0</v>
      </c>
      <c r="T85" s="3">
        <v>86</v>
      </c>
      <c r="U85" s="3">
        <v>0</v>
      </c>
      <c r="V85" s="3">
        <v>0</v>
      </c>
      <c r="W85" s="3">
        <v>0</v>
      </c>
      <c r="X85" s="3">
        <v>0</v>
      </c>
      <c r="Y85" s="3">
        <v>157</v>
      </c>
      <c r="Z85" s="3">
        <v>0</v>
      </c>
      <c r="AA85" s="3">
        <v>0.20046620046620001</v>
      </c>
      <c r="AB85" s="3">
        <v>0</v>
      </c>
      <c r="AC85" s="3">
        <v>0</v>
      </c>
      <c r="AD85" s="3">
        <v>0.43356643356643398</v>
      </c>
      <c r="AE85" s="3">
        <v>0</v>
      </c>
      <c r="AF85" s="3">
        <v>0</v>
      </c>
      <c r="AG85" s="3">
        <v>0</v>
      </c>
      <c r="AH85" s="3">
        <v>0.36596736596736601</v>
      </c>
      <c r="AI85" s="3">
        <v>0</v>
      </c>
      <c r="AJ85" s="3">
        <v>0.61655011655011605</v>
      </c>
      <c r="AK85" s="3">
        <v>0</v>
      </c>
      <c r="AL85" s="3">
        <v>0</v>
      </c>
      <c r="AM85" s="3">
        <v>0.38344988344988301</v>
      </c>
      <c r="AN85" s="3">
        <v>0.46666666666666701</v>
      </c>
      <c r="AO85" s="3">
        <v>0.378571428571429</v>
      </c>
      <c r="AP85" s="3">
        <v>0.68072289156626498</v>
      </c>
      <c r="AQ85" s="3"/>
      <c r="AR85" s="3"/>
      <c r="AS85" s="3"/>
      <c r="AT85" s="3"/>
      <c r="AU85" s="3"/>
      <c r="AV85" s="3"/>
      <c r="AW85" s="6"/>
      <c r="AX85" s="6"/>
    </row>
    <row r="86" spans="1:50" ht="112" hidden="1" x14ac:dyDescent="0.2">
      <c r="A86" s="3" t="s">
        <v>558</v>
      </c>
      <c r="B86" s="3" t="s">
        <v>66</v>
      </c>
      <c r="C86" s="3">
        <v>79130992</v>
      </c>
      <c r="D86" s="3" t="s">
        <v>109</v>
      </c>
      <c r="E86" s="3" t="s">
        <v>45</v>
      </c>
      <c r="F86" s="3" t="s">
        <v>59</v>
      </c>
      <c r="G86" s="3" t="s">
        <v>45</v>
      </c>
      <c r="H86" s="3" t="s">
        <v>234</v>
      </c>
      <c r="I86" s="3" t="s">
        <v>519</v>
      </c>
      <c r="J86" s="20" t="s">
        <v>559</v>
      </c>
      <c r="K86" s="3">
        <v>3.0674846625766698E-3</v>
      </c>
      <c r="L86" s="3">
        <v>326</v>
      </c>
      <c r="M86" s="3">
        <v>-21.6233077923441</v>
      </c>
      <c r="N86" s="20" t="s">
        <v>560</v>
      </c>
      <c r="O86" s="20" t="s">
        <v>561</v>
      </c>
      <c r="P86" s="3">
        <v>0</v>
      </c>
      <c r="Q86" s="3">
        <v>0</v>
      </c>
      <c r="R86" s="3">
        <v>0</v>
      </c>
      <c r="S86" s="3">
        <v>0</v>
      </c>
      <c r="T86" s="3">
        <v>103</v>
      </c>
      <c r="U86" s="3">
        <v>162</v>
      </c>
      <c r="V86" s="3">
        <v>0</v>
      </c>
      <c r="W86" s="3">
        <v>92</v>
      </c>
      <c r="X86" s="3">
        <v>0</v>
      </c>
      <c r="Y86" s="3">
        <v>0</v>
      </c>
      <c r="Z86" s="3">
        <v>0.25770308123249303</v>
      </c>
      <c r="AA86" s="3">
        <v>0.28851540616246502</v>
      </c>
      <c r="AB86" s="3">
        <v>0.45378151260504201</v>
      </c>
      <c r="AC86" s="3">
        <v>0</v>
      </c>
      <c r="AD86" s="3">
        <v>0</v>
      </c>
      <c r="AE86" s="3">
        <v>0</v>
      </c>
      <c r="AF86" s="3">
        <v>0</v>
      </c>
      <c r="AG86" s="3">
        <v>0</v>
      </c>
      <c r="AH86" s="3">
        <v>0</v>
      </c>
      <c r="AI86" s="3">
        <v>0</v>
      </c>
      <c r="AJ86" s="3">
        <v>0</v>
      </c>
      <c r="AK86" s="3">
        <v>0.582633053221288</v>
      </c>
      <c r="AL86" s="3">
        <v>0</v>
      </c>
      <c r="AM86" s="3">
        <v>0.417366946778711</v>
      </c>
      <c r="AN86" s="3">
        <v>4.6210526315789497</v>
      </c>
      <c r="AO86" s="3">
        <v>5.4216867469879499</v>
      </c>
      <c r="AP86" s="3">
        <v>5.3716216216216202</v>
      </c>
      <c r="AQ86" s="3" t="s">
        <v>820</v>
      </c>
      <c r="AR86" s="3" t="s">
        <v>821</v>
      </c>
      <c r="AS86" s="3" t="s">
        <v>822</v>
      </c>
      <c r="AT86" s="3" t="s">
        <v>636</v>
      </c>
      <c r="AU86" s="4">
        <v>1</v>
      </c>
      <c r="AV86" s="5">
        <v>0.96020000000000005</v>
      </c>
      <c r="AW86" s="8" t="s">
        <v>823</v>
      </c>
      <c r="AX86" s="6" t="s">
        <v>824</v>
      </c>
    </row>
    <row r="87" spans="1:50" hidden="1" x14ac:dyDescent="0.2">
      <c r="A87" s="3" t="s">
        <v>507</v>
      </c>
      <c r="B87" s="3" t="s">
        <v>113</v>
      </c>
      <c r="C87" s="3">
        <v>30709054</v>
      </c>
      <c r="D87" s="3" t="s">
        <v>260</v>
      </c>
      <c r="E87" s="3" t="s">
        <v>53</v>
      </c>
      <c r="F87" s="3" t="s">
        <v>59</v>
      </c>
      <c r="G87" s="3" t="s">
        <v>59</v>
      </c>
      <c r="H87" s="3" t="s">
        <v>255</v>
      </c>
      <c r="I87" s="3" t="s">
        <v>432</v>
      </c>
      <c r="J87" s="20" t="s">
        <v>508</v>
      </c>
      <c r="K87" s="3">
        <v>8.8235294117647106E-2</v>
      </c>
      <c r="L87" s="3">
        <v>306</v>
      </c>
      <c r="M87" s="3">
        <v>-0.77804811200345103</v>
      </c>
      <c r="N87" s="3">
        <v>1.74433661110375E-3</v>
      </c>
      <c r="O87" s="20" t="s">
        <v>509</v>
      </c>
      <c r="P87" s="3">
        <v>0</v>
      </c>
      <c r="Q87" s="3">
        <v>0</v>
      </c>
      <c r="R87" s="3">
        <v>312</v>
      </c>
      <c r="S87" s="3">
        <v>0</v>
      </c>
      <c r="T87" s="3">
        <v>0</v>
      </c>
      <c r="U87" s="3">
        <v>6</v>
      </c>
      <c r="V87" s="3">
        <v>0</v>
      </c>
      <c r="W87" s="3">
        <v>0</v>
      </c>
      <c r="X87" s="3">
        <v>39</v>
      </c>
      <c r="Y87" s="3">
        <v>0</v>
      </c>
      <c r="Z87" s="3">
        <v>0</v>
      </c>
      <c r="AA87" s="3">
        <v>0</v>
      </c>
      <c r="AB87" s="3">
        <v>1.6806722689075598E-2</v>
      </c>
      <c r="AC87" s="3">
        <v>0.109243697478992</v>
      </c>
      <c r="AD87" s="3">
        <v>0.873949579831933</v>
      </c>
      <c r="AE87" s="3">
        <v>0</v>
      </c>
      <c r="AF87" s="3">
        <v>0</v>
      </c>
      <c r="AG87" s="3">
        <v>0</v>
      </c>
      <c r="AH87" s="3">
        <v>0</v>
      </c>
      <c r="AI87" s="3">
        <v>0</v>
      </c>
      <c r="AJ87" s="3">
        <v>0.92857142857142905</v>
      </c>
      <c r="AK87" s="3">
        <v>7.1428571428571397E-2</v>
      </c>
      <c r="AL87" s="3">
        <v>0</v>
      </c>
      <c r="AM87" s="3">
        <v>0</v>
      </c>
      <c r="AN87" s="3">
        <v>2.5</v>
      </c>
      <c r="AO87" s="3">
        <v>0.8</v>
      </c>
      <c r="AP87" s="3">
        <v>0.82962962962963005</v>
      </c>
      <c r="AQ87" s="3"/>
      <c r="AR87" s="3"/>
      <c r="AS87" s="3"/>
      <c r="AT87" s="3"/>
      <c r="AU87" s="3"/>
      <c r="AV87" s="3"/>
      <c r="AW87" s="6"/>
      <c r="AX87" s="6"/>
    </row>
    <row r="88" spans="1:50" hidden="1" x14ac:dyDescent="0.2">
      <c r="A88" s="3" t="s">
        <v>465</v>
      </c>
      <c r="B88" s="3" t="s">
        <v>57</v>
      </c>
      <c r="C88" s="3">
        <v>86552629</v>
      </c>
      <c r="D88" s="3" t="s">
        <v>71</v>
      </c>
      <c r="E88" s="3" t="s">
        <v>45</v>
      </c>
      <c r="F88" s="3" t="s">
        <v>59</v>
      </c>
      <c r="G88" s="3" t="s">
        <v>59</v>
      </c>
      <c r="H88" s="3" t="s">
        <v>255</v>
      </c>
      <c r="I88" s="3" t="s">
        <v>432</v>
      </c>
      <c r="J88" s="20" t="s">
        <v>466</v>
      </c>
      <c r="K88" s="3">
        <v>1.1437908496731999E-2</v>
      </c>
      <c r="L88" s="3">
        <v>306</v>
      </c>
      <c r="M88" s="3">
        <v>7.6762238791358204</v>
      </c>
      <c r="N88" s="3">
        <v>1.4674515431360399E-4</v>
      </c>
      <c r="O88" s="20" t="s">
        <v>467</v>
      </c>
      <c r="P88" s="3">
        <v>0</v>
      </c>
      <c r="Q88" s="3">
        <v>0</v>
      </c>
      <c r="R88" s="3">
        <v>0</v>
      </c>
      <c r="S88" s="3">
        <v>0</v>
      </c>
      <c r="T88" s="3">
        <v>293</v>
      </c>
      <c r="U88" s="3">
        <v>8</v>
      </c>
      <c r="V88" s="3">
        <v>0</v>
      </c>
      <c r="W88" s="3">
        <v>56</v>
      </c>
      <c r="X88" s="3">
        <v>0</v>
      </c>
      <c r="Y88" s="3">
        <v>0</v>
      </c>
      <c r="Z88" s="3">
        <v>0.15686274509803899</v>
      </c>
      <c r="AA88" s="3">
        <v>0.82072829131652703</v>
      </c>
      <c r="AB88" s="3">
        <v>2.2408963585434202E-2</v>
      </c>
      <c r="AC88" s="3">
        <v>0</v>
      </c>
      <c r="AD88" s="3">
        <v>0</v>
      </c>
      <c r="AE88" s="3">
        <v>0</v>
      </c>
      <c r="AF88" s="3">
        <v>0</v>
      </c>
      <c r="AG88" s="3">
        <v>0</v>
      </c>
      <c r="AH88" s="3">
        <v>0</v>
      </c>
      <c r="AI88" s="3">
        <v>0</v>
      </c>
      <c r="AJ88" s="3">
        <v>0</v>
      </c>
      <c r="AK88" s="3">
        <v>0.10084033613445401</v>
      </c>
      <c r="AL88" s="3">
        <v>0</v>
      </c>
      <c r="AM88" s="3">
        <v>0.89915966386554602</v>
      </c>
      <c r="AN88" s="3">
        <v>0.28571428571428598</v>
      </c>
      <c r="AO88" s="3">
        <v>1</v>
      </c>
      <c r="AP88" s="3">
        <v>0.84677419354838701</v>
      </c>
      <c r="AQ88" s="3"/>
      <c r="AR88" s="3"/>
      <c r="AS88" s="3"/>
      <c r="AT88" s="3"/>
      <c r="AU88" s="3"/>
      <c r="AV88" s="3"/>
      <c r="AW88" s="6"/>
      <c r="AX88" s="6"/>
    </row>
    <row r="89" spans="1:50" ht="140" hidden="1" x14ac:dyDescent="0.2">
      <c r="A89" s="3" t="s">
        <v>274</v>
      </c>
      <c r="B89" s="3" t="s">
        <v>70</v>
      </c>
      <c r="C89" s="3">
        <v>431676369</v>
      </c>
      <c r="D89" s="3" t="s">
        <v>127</v>
      </c>
      <c r="E89" s="3" t="s">
        <v>45</v>
      </c>
      <c r="F89" s="3" t="s">
        <v>53</v>
      </c>
      <c r="G89" s="3" t="s">
        <v>53</v>
      </c>
      <c r="H89" s="3" t="s">
        <v>262</v>
      </c>
      <c r="I89" s="3" t="s">
        <v>259</v>
      </c>
      <c r="J89" s="20" t="s">
        <v>275</v>
      </c>
      <c r="K89" s="3">
        <v>0.21891891891891899</v>
      </c>
      <c r="L89" s="3">
        <v>370</v>
      </c>
      <c r="M89" s="3">
        <v>0.70501475233572797</v>
      </c>
      <c r="N89" s="3">
        <v>6.5840402405270403E-3</v>
      </c>
      <c r="O89" s="20" t="s">
        <v>276</v>
      </c>
      <c r="P89" s="3">
        <v>0</v>
      </c>
      <c r="Q89" s="3">
        <v>0</v>
      </c>
      <c r="R89" s="3">
        <v>15</v>
      </c>
      <c r="S89" s="3">
        <v>0</v>
      </c>
      <c r="T89" s="3">
        <v>263</v>
      </c>
      <c r="U89" s="3">
        <v>0</v>
      </c>
      <c r="V89" s="3">
        <v>0</v>
      </c>
      <c r="W89" s="3">
        <v>0</v>
      </c>
      <c r="X89" s="3">
        <v>0</v>
      </c>
      <c r="Y89" s="3">
        <v>151</v>
      </c>
      <c r="Z89" s="3">
        <v>0</v>
      </c>
      <c r="AA89" s="3">
        <v>0.61305361305361294</v>
      </c>
      <c r="AB89" s="3">
        <v>0</v>
      </c>
      <c r="AC89" s="3">
        <v>0</v>
      </c>
      <c r="AD89" s="3">
        <v>3.4965034965035002E-2</v>
      </c>
      <c r="AE89" s="3">
        <v>0</v>
      </c>
      <c r="AF89" s="3">
        <v>0</v>
      </c>
      <c r="AG89" s="3">
        <v>0</v>
      </c>
      <c r="AH89" s="3">
        <v>0.351981351981352</v>
      </c>
      <c r="AI89" s="3">
        <v>0</v>
      </c>
      <c r="AJ89" s="3">
        <v>0.210955710955711</v>
      </c>
      <c r="AK89" s="3">
        <v>0</v>
      </c>
      <c r="AL89" s="3">
        <v>0</v>
      </c>
      <c r="AM89" s="3">
        <v>0.78904428904428903</v>
      </c>
      <c r="AN89" s="3">
        <v>24.0615384615385</v>
      </c>
      <c r="AO89" s="3">
        <v>23.405797101449298</v>
      </c>
      <c r="AP89" s="3">
        <v>23.800228310502298</v>
      </c>
      <c r="AQ89" s="3" t="s">
        <v>861</v>
      </c>
      <c r="AR89" s="3" t="s">
        <v>862</v>
      </c>
      <c r="AS89" s="3" t="s">
        <v>863</v>
      </c>
      <c r="AT89" s="3" t="s">
        <v>636</v>
      </c>
      <c r="AU89" s="4">
        <v>1</v>
      </c>
      <c r="AV89" s="5">
        <v>0.89810000000000001</v>
      </c>
      <c r="AW89" s="10" t="s">
        <v>864</v>
      </c>
      <c r="AX89" s="6" t="s">
        <v>931</v>
      </c>
    </row>
    <row r="90" spans="1:50" hidden="1" x14ac:dyDescent="0.2">
      <c r="A90" s="3" t="s">
        <v>168</v>
      </c>
      <c r="B90" s="3" t="s">
        <v>169</v>
      </c>
      <c r="C90" s="3">
        <v>102610885</v>
      </c>
      <c r="D90" s="3" t="s">
        <v>109</v>
      </c>
      <c r="E90" s="3" t="s">
        <v>59</v>
      </c>
      <c r="F90" s="3" t="s">
        <v>45</v>
      </c>
      <c r="G90" s="3" t="s">
        <v>45</v>
      </c>
      <c r="H90" s="3" t="s">
        <v>153</v>
      </c>
      <c r="I90" s="3" t="s">
        <v>48</v>
      </c>
      <c r="J90" s="20" t="s">
        <v>170</v>
      </c>
      <c r="K90" s="3">
        <v>3.6144578313253E-3</v>
      </c>
      <c r="L90" s="3">
        <v>415</v>
      </c>
      <c r="M90" s="3">
        <v>-3.5523517537404903E-2</v>
      </c>
      <c r="N90" s="3">
        <v>3.4515195187727202E-4</v>
      </c>
      <c r="O90" s="20" t="s">
        <v>171</v>
      </c>
      <c r="P90" s="3">
        <v>0</v>
      </c>
      <c r="Q90" s="3">
        <v>0</v>
      </c>
      <c r="R90" s="3">
        <v>0</v>
      </c>
      <c r="S90" s="3">
        <v>0</v>
      </c>
      <c r="T90" s="3">
        <v>9</v>
      </c>
      <c r="U90" s="3">
        <v>339</v>
      </c>
      <c r="V90" s="3">
        <v>0</v>
      </c>
      <c r="W90" s="3">
        <v>81</v>
      </c>
      <c r="X90" s="3">
        <v>0</v>
      </c>
      <c r="Y90" s="3">
        <v>0</v>
      </c>
      <c r="Z90" s="3">
        <v>0.188811188811189</v>
      </c>
      <c r="AA90" s="3">
        <v>2.0979020979021001E-2</v>
      </c>
      <c r="AB90" s="3">
        <v>0.79020979020978999</v>
      </c>
      <c r="AC90" s="3">
        <v>0</v>
      </c>
      <c r="AD90" s="3">
        <v>0</v>
      </c>
      <c r="AE90" s="3">
        <v>0</v>
      </c>
      <c r="AF90" s="3">
        <v>0</v>
      </c>
      <c r="AG90" s="3">
        <v>0</v>
      </c>
      <c r="AH90" s="3">
        <v>0</v>
      </c>
      <c r="AI90" s="3">
        <v>0</v>
      </c>
      <c r="AJ90" s="3">
        <v>0</v>
      </c>
      <c r="AK90" s="3">
        <v>0.88461538461538503</v>
      </c>
      <c r="AL90" s="3">
        <v>0</v>
      </c>
      <c r="AM90" s="3">
        <v>0.115384615384615</v>
      </c>
      <c r="AN90" s="3">
        <v>8.9377444444444405E-3</v>
      </c>
      <c r="AO90" s="3">
        <v>1.6864094025974E-2</v>
      </c>
      <c r="AP90" s="3">
        <v>1.5267676869300899E-2</v>
      </c>
      <c r="AQ90" s="3"/>
      <c r="AR90" s="3"/>
      <c r="AS90" s="3"/>
      <c r="AT90" s="3"/>
      <c r="AU90" s="3"/>
      <c r="AV90" s="3"/>
      <c r="AW90" s="6"/>
      <c r="AX90" s="6"/>
    </row>
    <row r="91" spans="1:50" hidden="1" x14ac:dyDescent="0.2">
      <c r="A91" s="3" t="s">
        <v>359</v>
      </c>
      <c r="B91" s="3" t="s">
        <v>105</v>
      </c>
      <c r="C91" s="3">
        <v>262784533</v>
      </c>
      <c r="D91" s="3" t="s">
        <v>71</v>
      </c>
      <c r="E91" s="3" t="s">
        <v>59</v>
      </c>
      <c r="F91" s="3" t="s">
        <v>45</v>
      </c>
      <c r="G91" s="3" t="s">
        <v>59</v>
      </c>
      <c r="H91" s="3" t="s">
        <v>86</v>
      </c>
      <c r="I91" s="3" t="s">
        <v>338</v>
      </c>
      <c r="J91" s="20" t="s">
        <v>360</v>
      </c>
      <c r="K91" s="3">
        <v>0.177884615384615</v>
      </c>
      <c r="L91" s="3">
        <v>312</v>
      </c>
      <c r="M91" s="3">
        <v>-7.1645012645293198</v>
      </c>
      <c r="N91" s="3">
        <v>5.57592419078608E-3</v>
      </c>
      <c r="O91" s="20" t="s">
        <v>361</v>
      </c>
      <c r="P91" s="3">
        <v>0</v>
      </c>
      <c r="Q91" s="3">
        <v>0</v>
      </c>
      <c r="R91" s="3">
        <v>0</v>
      </c>
      <c r="S91" s="3">
        <v>0</v>
      </c>
      <c r="T91" s="3">
        <v>318</v>
      </c>
      <c r="U91" s="3">
        <v>2</v>
      </c>
      <c r="V91" s="3">
        <v>0</v>
      </c>
      <c r="W91" s="3">
        <v>44</v>
      </c>
      <c r="X91" s="3">
        <v>0</v>
      </c>
      <c r="Y91" s="3">
        <v>0</v>
      </c>
      <c r="Z91" s="3">
        <v>0.120879120879121</v>
      </c>
      <c r="AA91" s="3">
        <v>0.87362637362637396</v>
      </c>
      <c r="AB91" s="3">
        <v>5.4945054945055001E-3</v>
      </c>
      <c r="AC91" s="3">
        <v>0</v>
      </c>
      <c r="AD91" s="3">
        <v>0</v>
      </c>
      <c r="AE91" s="3">
        <v>0</v>
      </c>
      <c r="AF91" s="3">
        <v>0</v>
      </c>
      <c r="AG91" s="3">
        <v>0</v>
      </c>
      <c r="AH91" s="3">
        <v>0</v>
      </c>
      <c r="AI91" s="3">
        <v>0</v>
      </c>
      <c r="AJ91" s="3">
        <v>0</v>
      </c>
      <c r="AK91" s="3">
        <v>6.5934065934065894E-2</v>
      </c>
      <c r="AL91" s="3">
        <v>0</v>
      </c>
      <c r="AM91" s="3">
        <v>0.93406593406593397</v>
      </c>
      <c r="AN91" s="3">
        <v>40.75</v>
      </c>
      <c r="AO91" s="3">
        <v>25.364102564102598</v>
      </c>
      <c r="AP91" s="3">
        <v>18.385977859778599</v>
      </c>
      <c r="AQ91" s="3"/>
      <c r="AR91" s="3"/>
      <c r="AS91" s="3"/>
      <c r="AT91" s="3"/>
      <c r="AU91" s="3"/>
      <c r="AV91" s="3"/>
      <c r="AW91" s="6"/>
      <c r="AX91" s="6"/>
    </row>
    <row r="92" spans="1:50" ht="84" hidden="1" x14ac:dyDescent="0.2">
      <c r="A92" s="3" t="s">
        <v>268</v>
      </c>
      <c r="B92" s="3" t="s">
        <v>123</v>
      </c>
      <c r="C92" s="3">
        <v>233909510</v>
      </c>
      <c r="D92" s="3" t="s">
        <v>71</v>
      </c>
      <c r="E92" s="3" t="s">
        <v>45</v>
      </c>
      <c r="F92" s="3" t="s">
        <v>59</v>
      </c>
      <c r="G92" s="3" t="s">
        <v>59</v>
      </c>
      <c r="H92" s="3" t="s">
        <v>262</v>
      </c>
      <c r="I92" s="3" t="s">
        <v>259</v>
      </c>
      <c r="J92" s="20" t="s">
        <v>269</v>
      </c>
      <c r="K92" s="3">
        <v>0.231081081081081</v>
      </c>
      <c r="L92" s="3">
        <v>370</v>
      </c>
      <c r="M92" s="3">
        <v>0.74346455730648098</v>
      </c>
      <c r="N92" s="3">
        <v>2.4024198320111E-4</v>
      </c>
      <c r="O92" s="20" t="s">
        <v>270</v>
      </c>
      <c r="P92" s="3">
        <v>0</v>
      </c>
      <c r="Q92" s="3">
        <v>0</v>
      </c>
      <c r="R92" s="3">
        <v>0</v>
      </c>
      <c r="S92" s="3">
        <v>0</v>
      </c>
      <c r="T92" s="3">
        <v>220</v>
      </c>
      <c r="U92" s="3">
        <v>44</v>
      </c>
      <c r="V92" s="3">
        <v>0</v>
      </c>
      <c r="W92" s="3">
        <v>165</v>
      </c>
      <c r="X92" s="3">
        <v>0</v>
      </c>
      <c r="Y92" s="3">
        <v>0</v>
      </c>
      <c r="Z92" s="3">
        <v>0.38461538461538503</v>
      </c>
      <c r="AA92" s="3">
        <v>0.512820512820513</v>
      </c>
      <c r="AB92" s="3">
        <v>0.102564102564103</v>
      </c>
      <c r="AC92" s="3">
        <v>0</v>
      </c>
      <c r="AD92" s="3">
        <v>0</v>
      </c>
      <c r="AE92" s="3">
        <v>0</v>
      </c>
      <c r="AF92" s="3">
        <v>0</v>
      </c>
      <c r="AG92" s="3">
        <v>0</v>
      </c>
      <c r="AH92" s="3">
        <v>0</v>
      </c>
      <c r="AI92" s="3">
        <v>0</v>
      </c>
      <c r="AJ92" s="3">
        <v>0</v>
      </c>
      <c r="AK92" s="3">
        <v>0.29487179487179499</v>
      </c>
      <c r="AL92" s="3">
        <v>0</v>
      </c>
      <c r="AM92" s="3">
        <v>0.70512820512820495</v>
      </c>
      <c r="AN92" s="3">
        <v>23.318055555555599</v>
      </c>
      <c r="AO92" s="3">
        <v>23.737062937062898</v>
      </c>
      <c r="AP92" s="3">
        <v>23.671204188481699</v>
      </c>
      <c r="AQ92" s="3" t="s">
        <v>857</v>
      </c>
      <c r="AR92" s="3" t="s">
        <v>858</v>
      </c>
      <c r="AS92" s="3" t="s">
        <v>635</v>
      </c>
      <c r="AT92" s="3" t="s">
        <v>636</v>
      </c>
      <c r="AU92" s="4">
        <v>0.75</v>
      </c>
      <c r="AV92" s="5">
        <v>0.78149999999999997</v>
      </c>
      <c r="AW92" s="8" t="s">
        <v>859</v>
      </c>
      <c r="AX92" s="6" t="s">
        <v>860</v>
      </c>
    </row>
    <row r="93" spans="1:50" hidden="1" x14ac:dyDescent="0.2">
      <c r="A93" s="3" t="s">
        <v>89</v>
      </c>
      <c r="B93" s="3" t="s">
        <v>90</v>
      </c>
      <c r="C93" s="3">
        <v>140707817</v>
      </c>
      <c r="D93" s="3" t="s">
        <v>52</v>
      </c>
      <c r="E93" s="3" t="s">
        <v>46</v>
      </c>
      <c r="F93" s="3" t="s">
        <v>53</v>
      </c>
      <c r="G93" s="3" t="s">
        <v>53</v>
      </c>
      <c r="H93" s="3" t="s">
        <v>86</v>
      </c>
      <c r="I93" s="3" t="s">
        <v>48</v>
      </c>
      <c r="J93" s="20" t="s">
        <v>91</v>
      </c>
      <c r="K93" s="3">
        <v>1.32275132275128E-3</v>
      </c>
      <c r="L93" s="3">
        <v>378</v>
      </c>
      <c r="M93" s="3">
        <v>-2.32279007999067</v>
      </c>
      <c r="N93" s="3">
        <v>5.2340032464422604E-4</v>
      </c>
      <c r="O93" s="20" t="s">
        <v>92</v>
      </c>
      <c r="P93" s="3">
        <v>378</v>
      </c>
      <c r="Q93" s="3">
        <v>49</v>
      </c>
      <c r="R93" s="3">
        <v>2</v>
      </c>
      <c r="S93" s="3">
        <v>0</v>
      </c>
      <c r="T93" s="3">
        <v>0</v>
      </c>
      <c r="U93" s="3">
        <v>0</v>
      </c>
      <c r="V93" s="3">
        <v>0</v>
      </c>
      <c r="W93" s="3">
        <v>0</v>
      </c>
      <c r="X93" s="3">
        <v>0</v>
      </c>
      <c r="Y93" s="3">
        <v>0</v>
      </c>
      <c r="Z93" s="3">
        <v>0</v>
      </c>
      <c r="AA93" s="3">
        <v>0</v>
      </c>
      <c r="AB93" s="3">
        <v>0</v>
      </c>
      <c r="AC93" s="3">
        <v>0</v>
      </c>
      <c r="AD93" s="3">
        <v>4.6620046620046603E-3</v>
      </c>
      <c r="AE93" s="3">
        <v>0.114219114219114</v>
      </c>
      <c r="AF93" s="3">
        <v>0.88111888111888104</v>
      </c>
      <c r="AG93" s="3">
        <v>0</v>
      </c>
      <c r="AH93" s="3">
        <v>0</v>
      </c>
      <c r="AI93" s="3">
        <v>0</v>
      </c>
      <c r="AJ93" s="3">
        <v>6.1771561771561803E-2</v>
      </c>
      <c r="AK93" s="3">
        <v>0</v>
      </c>
      <c r="AL93" s="3">
        <v>0.93822843822843804</v>
      </c>
      <c r="AM93" s="3">
        <v>0</v>
      </c>
      <c r="AN93" s="3">
        <v>0.4</v>
      </c>
      <c r="AO93" s="3">
        <v>0.58444444444444399</v>
      </c>
      <c r="AP93" s="3">
        <v>0.52078313253011999</v>
      </c>
      <c r="AQ93" s="3"/>
      <c r="AR93" s="3"/>
      <c r="AS93" s="3"/>
      <c r="AT93" s="3"/>
      <c r="AU93" s="3"/>
      <c r="AV93" s="3"/>
      <c r="AW93" s="6"/>
      <c r="AX93" s="6"/>
    </row>
    <row r="94" spans="1:50" ht="42" hidden="1" x14ac:dyDescent="0.2">
      <c r="A94" s="3" t="s">
        <v>348</v>
      </c>
      <c r="B94" s="3" t="s">
        <v>77</v>
      </c>
      <c r="C94" s="3">
        <v>452036252</v>
      </c>
      <c r="D94" s="3" t="s">
        <v>225</v>
      </c>
      <c r="E94" s="3" t="s">
        <v>59</v>
      </c>
      <c r="F94" s="3" t="s">
        <v>46</v>
      </c>
      <c r="G94" s="3" t="s">
        <v>46</v>
      </c>
      <c r="H94" s="3" t="s">
        <v>337</v>
      </c>
      <c r="I94" s="3" t="s">
        <v>338</v>
      </c>
      <c r="J94" s="20" t="s">
        <v>349</v>
      </c>
      <c r="K94" s="3">
        <v>5.6818181818182297E-3</v>
      </c>
      <c r="L94" s="3">
        <v>264</v>
      </c>
      <c r="M94" s="3">
        <v>16.863357956104402</v>
      </c>
      <c r="N94" s="20" t="s">
        <v>350</v>
      </c>
      <c r="O94" s="20" t="s">
        <v>351</v>
      </c>
      <c r="P94" s="3">
        <v>102</v>
      </c>
      <c r="Q94" s="3">
        <v>0</v>
      </c>
      <c r="R94" s="3">
        <v>0</v>
      </c>
      <c r="S94" s="3">
        <v>0</v>
      </c>
      <c r="T94" s="3">
        <v>0</v>
      </c>
      <c r="U94" s="3">
        <v>108</v>
      </c>
      <c r="V94" s="3">
        <v>154</v>
      </c>
      <c r="W94" s="3">
        <v>0</v>
      </c>
      <c r="X94" s="3">
        <v>0</v>
      </c>
      <c r="Y94" s="3">
        <v>0</v>
      </c>
      <c r="Z94" s="3">
        <v>0</v>
      </c>
      <c r="AA94" s="3">
        <v>0</v>
      </c>
      <c r="AB94" s="3">
        <v>0.29670329670329698</v>
      </c>
      <c r="AC94" s="3">
        <v>0</v>
      </c>
      <c r="AD94" s="3">
        <v>0</v>
      </c>
      <c r="AE94" s="3">
        <v>0</v>
      </c>
      <c r="AF94" s="3">
        <v>0.28021978021978</v>
      </c>
      <c r="AG94" s="3">
        <v>0</v>
      </c>
      <c r="AH94" s="3">
        <v>0</v>
      </c>
      <c r="AI94" s="3">
        <v>0.42307692307692302</v>
      </c>
      <c r="AJ94" s="3">
        <v>0</v>
      </c>
      <c r="AK94" s="3">
        <v>0.50824175824175799</v>
      </c>
      <c r="AL94" s="3">
        <v>0.49175824175824201</v>
      </c>
      <c r="AM94" s="3">
        <v>0</v>
      </c>
      <c r="AN94" s="3">
        <v>95.970933824285694</v>
      </c>
      <c r="AO94" s="3">
        <v>93.2106732535714</v>
      </c>
      <c r="AP94" s="3">
        <v>93.333252112195098</v>
      </c>
      <c r="AQ94" s="3" t="s">
        <v>732</v>
      </c>
      <c r="AR94" s="3" t="s">
        <v>733</v>
      </c>
      <c r="AS94" s="3" t="s">
        <v>913</v>
      </c>
      <c r="AT94" s="3"/>
      <c r="AU94" s="3"/>
      <c r="AV94" s="3"/>
      <c r="AW94" s="10" t="s">
        <v>734</v>
      </c>
      <c r="AX94" s="6" t="s">
        <v>735</v>
      </c>
    </row>
    <row r="95" spans="1:50" ht="70" hidden="1" x14ac:dyDescent="0.2">
      <c r="A95" s="3" t="s">
        <v>365</v>
      </c>
      <c r="B95" s="3" t="s">
        <v>108</v>
      </c>
      <c r="C95" s="3">
        <v>434778697</v>
      </c>
      <c r="D95" s="3" t="s">
        <v>52</v>
      </c>
      <c r="E95" s="3" t="s">
        <v>53</v>
      </c>
      <c r="F95" s="3" t="s">
        <v>46</v>
      </c>
      <c r="G95" s="3" t="s">
        <v>53</v>
      </c>
      <c r="H95" s="3" t="s">
        <v>86</v>
      </c>
      <c r="I95" s="3" t="s">
        <v>338</v>
      </c>
      <c r="J95" s="20" t="s">
        <v>366</v>
      </c>
      <c r="K95" s="3">
        <v>0.44551282051281998</v>
      </c>
      <c r="L95" s="3">
        <v>312</v>
      </c>
      <c r="M95" s="3">
        <v>3.9587983814196499</v>
      </c>
      <c r="N95" s="3">
        <v>5.57592419078608E-3</v>
      </c>
      <c r="O95" s="20" t="s">
        <v>367</v>
      </c>
      <c r="P95" s="3">
        <v>262</v>
      </c>
      <c r="Q95" s="3">
        <v>84</v>
      </c>
      <c r="R95" s="3">
        <v>18</v>
      </c>
      <c r="S95" s="3">
        <v>0</v>
      </c>
      <c r="T95" s="3">
        <v>0</v>
      </c>
      <c r="U95" s="3">
        <v>0</v>
      </c>
      <c r="V95" s="3">
        <v>0</v>
      </c>
      <c r="W95" s="3">
        <v>0</v>
      </c>
      <c r="X95" s="3">
        <v>0</v>
      </c>
      <c r="Y95" s="3">
        <v>0</v>
      </c>
      <c r="Z95" s="3">
        <v>0</v>
      </c>
      <c r="AA95" s="3">
        <v>0</v>
      </c>
      <c r="AB95" s="3">
        <v>0</v>
      </c>
      <c r="AC95" s="3">
        <v>0</v>
      </c>
      <c r="AD95" s="3">
        <v>4.94505494505494E-2</v>
      </c>
      <c r="AE95" s="3">
        <v>0.230769230769231</v>
      </c>
      <c r="AF95" s="3">
        <v>0.71978021978022</v>
      </c>
      <c r="AG95" s="3">
        <v>0</v>
      </c>
      <c r="AH95" s="3">
        <v>0</v>
      </c>
      <c r="AI95" s="3">
        <v>0</v>
      </c>
      <c r="AJ95" s="3">
        <v>0.164835164835165</v>
      </c>
      <c r="AK95" s="3">
        <v>0</v>
      </c>
      <c r="AL95" s="3">
        <v>0.83516483516483497</v>
      </c>
      <c r="AM95" s="3">
        <v>0</v>
      </c>
      <c r="AN95" s="3">
        <v>19.55</v>
      </c>
      <c r="AO95" s="3">
        <v>16.876712328767098</v>
      </c>
      <c r="AP95" s="3">
        <v>20.211555555555599</v>
      </c>
      <c r="AQ95" s="3" t="s">
        <v>914</v>
      </c>
      <c r="AR95" s="3"/>
      <c r="AS95" s="3" t="s">
        <v>673</v>
      </c>
      <c r="AT95" s="3" t="s">
        <v>653</v>
      </c>
      <c r="AU95" s="4">
        <v>0.98</v>
      </c>
      <c r="AV95" s="5">
        <v>0.91920000000000002</v>
      </c>
      <c r="AW95" s="11" t="s">
        <v>674</v>
      </c>
      <c r="AX95" s="6" t="s">
        <v>675</v>
      </c>
    </row>
    <row r="96" spans="1:50" hidden="1" x14ac:dyDescent="0.2">
      <c r="A96" s="3" t="s">
        <v>177</v>
      </c>
      <c r="B96" s="3" t="s">
        <v>81</v>
      </c>
      <c r="C96" s="3">
        <v>405883624</v>
      </c>
      <c r="D96" s="3" t="s">
        <v>71</v>
      </c>
      <c r="E96" s="3" t="s">
        <v>45</v>
      </c>
      <c r="F96" s="3" t="s">
        <v>59</v>
      </c>
      <c r="G96" s="3" t="s">
        <v>59</v>
      </c>
      <c r="H96" s="3" t="s">
        <v>173</v>
      </c>
      <c r="I96" s="3" t="s">
        <v>48</v>
      </c>
      <c r="J96" s="20" t="s">
        <v>178</v>
      </c>
      <c r="K96" s="3">
        <v>1.30331753554502E-2</v>
      </c>
      <c r="L96" s="3">
        <v>422</v>
      </c>
      <c r="M96" s="3">
        <v>11.524355707701901</v>
      </c>
      <c r="N96" s="3">
        <v>9.5766539679905196E-4</v>
      </c>
      <c r="O96" s="20" t="s">
        <v>179</v>
      </c>
      <c r="P96" s="3">
        <v>0</v>
      </c>
      <c r="Q96" s="3">
        <v>0</v>
      </c>
      <c r="R96" s="3">
        <v>0</v>
      </c>
      <c r="S96" s="3">
        <v>0</v>
      </c>
      <c r="T96" s="3">
        <v>266</v>
      </c>
      <c r="U96" s="3">
        <v>7</v>
      </c>
      <c r="V96" s="3">
        <v>0</v>
      </c>
      <c r="W96" s="3">
        <v>156</v>
      </c>
      <c r="X96" s="3">
        <v>0</v>
      </c>
      <c r="Y96" s="3">
        <v>0</v>
      </c>
      <c r="Z96" s="3">
        <v>0.36363636363636398</v>
      </c>
      <c r="AA96" s="3">
        <v>0.62004662004662003</v>
      </c>
      <c r="AB96" s="3">
        <v>1.6317016317016299E-2</v>
      </c>
      <c r="AC96" s="3">
        <v>0</v>
      </c>
      <c r="AD96" s="3">
        <v>0</v>
      </c>
      <c r="AE96" s="3">
        <v>0</v>
      </c>
      <c r="AF96" s="3">
        <v>0</v>
      </c>
      <c r="AG96" s="3">
        <v>0</v>
      </c>
      <c r="AH96" s="3">
        <v>0</v>
      </c>
      <c r="AI96" s="3">
        <v>0</v>
      </c>
      <c r="AJ96" s="3">
        <v>0</v>
      </c>
      <c r="AK96" s="3">
        <v>0.198135198135198</v>
      </c>
      <c r="AL96" s="3">
        <v>0</v>
      </c>
      <c r="AM96" s="3">
        <v>0.80186480186480202</v>
      </c>
      <c r="AN96" s="3">
        <v>93.571428571428598</v>
      </c>
      <c r="AO96" s="3">
        <v>95.519480519480496</v>
      </c>
      <c r="AP96" s="3">
        <v>93.218390804597703</v>
      </c>
      <c r="AQ96" s="3"/>
      <c r="AR96" s="3"/>
      <c r="AS96" s="3"/>
      <c r="AT96" s="3"/>
      <c r="AU96" s="3"/>
      <c r="AV96" s="3"/>
      <c r="AW96" s="6"/>
      <c r="AX96" s="6"/>
    </row>
    <row r="97" spans="1:50" hidden="1" x14ac:dyDescent="0.2">
      <c r="A97" s="3" t="s">
        <v>542</v>
      </c>
      <c r="B97" s="3" t="s">
        <v>198</v>
      </c>
      <c r="C97" s="3">
        <v>570894065</v>
      </c>
      <c r="D97" s="3" t="s">
        <v>52</v>
      </c>
      <c r="E97" s="3" t="s">
        <v>46</v>
      </c>
      <c r="F97" s="3" t="s">
        <v>53</v>
      </c>
      <c r="G97" s="3" t="s">
        <v>53</v>
      </c>
      <c r="H97" s="3" t="s">
        <v>86</v>
      </c>
      <c r="I97" s="3" t="s">
        <v>519</v>
      </c>
      <c r="J97" s="20" t="s">
        <v>543</v>
      </c>
      <c r="K97" s="3">
        <v>1.8633540372670801E-2</v>
      </c>
      <c r="L97" s="3">
        <v>322</v>
      </c>
      <c r="M97" s="3">
        <v>-0.24214254777157501</v>
      </c>
      <c r="N97" s="20" t="s">
        <v>544</v>
      </c>
      <c r="O97" s="20" t="s">
        <v>545</v>
      </c>
      <c r="P97" s="3">
        <v>174</v>
      </c>
      <c r="Q97" s="3">
        <v>145</v>
      </c>
      <c r="R97" s="3">
        <v>38</v>
      </c>
      <c r="S97" s="3">
        <v>0</v>
      </c>
      <c r="T97" s="3">
        <v>0</v>
      </c>
      <c r="U97" s="3">
        <v>0</v>
      </c>
      <c r="V97" s="3">
        <v>0</v>
      </c>
      <c r="W97" s="3">
        <v>0</v>
      </c>
      <c r="X97" s="3">
        <v>0</v>
      </c>
      <c r="Y97" s="3">
        <v>0</v>
      </c>
      <c r="Z97" s="3">
        <v>0</v>
      </c>
      <c r="AA97" s="3">
        <v>0</v>
      </c>
      <c r="AB97" s="3">
        <v>0</v>
      </c>
      <c r="AC97" s="3">
        <v>0</v>
      </c>
      <c r="AD97" s="3">
        <v>0.106442577030812</v>
      </c>
      <c r="AE97" s="3">
        <v>0.40616246498599401</v>
      </c>
      <c r="AF97" s="3">
        <v>0.48739495798319299</v>
      </c>
      <c r="AG97" s="3">
        <v>0</v>
      </c>
      <c r="AH97" s="3">
        <v>0</v>
      </c>
      <c r="AI97" s="3">
        <v>0</v>
      </c>
      <c r="AJ97" s="3">
        <v>0.30952380952380998</v>
      </c>
      <c r="AK97" s="3">
        <v>0</v>
      </c>
      <c r="AL97" s="3">
        <v>0.69047619047619002</v>
      </c>
      <c r="AM97" s="3">
        <v>0</v>
      </c>
      <c r="AN97" s="3">
        <v>7.6470588235294096E-2</v>
      </c>
      <c r="AO97" s="3">
        <v>0.10839694656488499</v>
      </c>
      <c r="AP97" s="3">
        <v>0.14713375796178299</v>
      </c>
      <c r="AQ97" s="3"/>
      <c r="AR97" s="3"/>
      <c r="AS97" s="3"/>
      <c r="AT97" s="3"/>
      <c r="AU97" s="3"/>
      <c r="AV97" s="3"/>
      <c r="AW97" s="6"/>
      <c r="AX97" s="6"/>
    </row>
    <row r="98" spans="1:50" ht="84" hidden="1" x14ac:dyDescent="0.2">
      <c r="A98" s="3" t="s">
        <v>471</v>
      </c>
      <c r="B98" s="3" t="s">
        <v>120</v>
      </c>
      <c r="C98" s="3">
        <v>136045713</v>
      </c>
      <c r="D98" s="3" t="s">
        <v>71</v>
      </c>
      <c r="E98" s="3" t="s">
        <v>45</v>
      </c>
      <c r="F98" s="3" t="s">
        <v>59</v>
      </c>
      <c r="G98" s="3" t="s">
        <v>59</v>
      </c>
      <c r="H98" s="3" t="s">
        <v>255</v>
      </c>
      <c r="I98" s="3" t="s">
        <v>432</v>
      </c>
      <c r="J98" s="20" t="s">
        <v>472</v>
      </c>
      <c r="K98" s="3">
        <v>1.7973856209150402E-2</v>
      </c>
      <c r="L98" s="3">
        <v>306</v>
      </c>
      <c r="M98" s="3">
        <v>11.1118489763487</v>
      </c>
      <c r="N98" s="20" t="s">
        <v>473</v>
      </c>
      <c r="O98" s="20" t="s">
        <v>474</v>
      </c>
      <c r="P98" s="3">
        <v>0</v>
      </c>
      <c r="Q98" s="3">
        <v>0</v>
      </c>
      <c r="R98" s="3">
        <v>0</v>
      </c>
      <c r="S98" s="3">
        <v>0</v>
      </c>
      <c r="T98" s="3">
        <v>239</v>
      </c>
      <c r="U98" s="3">
        <v>26</v>
      </c>
      <c r="V98" s="3">
        <v>0</v>
      </c>
      <c r="W98" s="3">
        <v>92</v>
      </c>
      <c r="X98" s="3">
        <v>0</v>
      </c>
      <c r="Y98" s="3">
        <v>0</v>
      </c>
      <c r="Z98" s="3">
        <v>0.25770308123249303</v>
      </c>
      <c r="AA98" s="3">
        <v>0.669467787114846</v>
      </c>
      <c r="AB98" s="3">
        <v>7.2829131652661097E-2</v>
      </c>
      <c r="AC98" s="3">
        <v>0</v>
      </c>
      <c r="AD98" s="3">
        <v>0</v>
      </c>
      <c r="AE98" s="3">
        <v>0</v>
      </c>
      <c r="AF98" s="3">
        <v>0</v>
      </c>
      <c r="AG98" s="3">
        <v>0</v>
      </c>
      <c r="AH98" s="3">
        <v>0</v>
      </c>
      <c r="AI98" s="3">
        <v>0</v>
      </c>
      <c r="AJ98" s="3">
        <v>0</v>
      </c>
      <c r="AK98" s="3">
        <v>0.20168067226890801</v>
      </c>
      <c r="AL98" s="3">
        <v>0</v>
      </c>
      <c r="AM98" s="3">
        <v>0.79831932773109204</v>
      </c>
      <c r="AN98" s="3">
        <v>1.1052631578947401</v>
      </c>
      <c r="AO98" s="3">
        <v>1.04705882352941</v>
      </c>
      <c r="AP98" s="3">
        <v>0.75742574257425699</v>
      </c>
      <c r="AQ98" s="3" t="s">
        <v>762</v>
      </c>
      <c r="AR98" s="3" t="s">
        <v>763</v>
      </c>
      <c r="AS98" s="3" t="s">
        <v>764</v>
      </c>
      <c r="AT98" s="3" t="s">
        <v>636</v>
      </c>
      <c r="AU98" s="4">
        <v>1</v>
      </c>
      <c r="AV98" s="5">
        <v>0.995</v>
      </c>
      <c r="AW98" s="8" t="s">
        <v>765</v>
      </c>
      <c r="AX98" s="6" t="s">
        <v>923</v>
      </c>
    </row>
    <row r="99" spans="1:50" ht="98" hidden="1" x14ac:dyDescent="0.2">
      <c r="A99" s="3" t="s">
        <v>486</v>
      </c>
      <c r="B99" s="3" t="s">
        <v>105</v>
      </c>
      <c r="C99" s="3">
        <v>272394531</v>
      </c>
      <c r="D99" s="3" t="s">
        <v>71</v>
      </c>
      <c r="E99" s="3" t="s">
        <v>59</v>
      </c>
      <c r="F99" s="3" t="s">
        <v>45</v>
      </c>
      <c r="G99" s="3" t="s">
        <v>59</v>
      </c>
      <c r="H99" s="3" t="s">
        <v>255</v>
      </c>
      <c r="I99" s="3" t="s">
        <v>432</v>
      </c>
      <c r="J99" s="20" t="s">
        <v>487</v>
      </c>
      <c r="K99" s="3">
        <v>8.1699346405228503E-3</v>
      </c>
      <c r="L99" s="3">
        <v>306</v>
      </c>
      <c r="M99" s="3">
        <v>15.369248307384</v>
      </c>
      <c r="N99" s="3">
        <v>1.4674515431360399E-4</v>
      </c>
      <c r="O99" s="20" t="s">
        <v>488</v>
      </c>
      <c r="P99" s="3">
        <v>0</v>
      </c>
      <c r="Q99" s="3">
        <v>0</v>
      </c>
      <c r="R99" s="3">
        <v>0</v>
      </c>
      <c r="S99" s="3">
        <v>0</v>
      </c>
      <c r="T99" s="3">
        <v>207</v>
      </c>
      <c r="U99" s="3">
        <v>22</v>
      </c>
      <c r="V99" s="3">
        <v>0</v>
      </c>
      <c r="W99" s="3">
        <v>128</v>
      </c>
      <c r="X99" s="3">
        <v>0</v>
      </c>
      <c r="Y99" s="3">
        <v>0</v>
      </c>
      <c r="Z99" s="3">
        <v>0.358543417366947</v>
      </c>
      <c r="AA99" s="3">
        <v>0.57983193277310896</v>
      </c>
      <c r="AB99" s="3">
        <v>6.1624649859944002E-2</v>
      </c>
      <c r="AC99" s="3">
        <v>0</v>
      </c>
      <c r="AD99" s="3">
        <v>0</v>
      </c>
      <c r="AE99" s="3">
        <v>0</v>
      </c>
      <c r="AF99" s="3">
        <v>0</v>
      </c>
      <c r="AG99" s="3">
        <v>0</v>
      </c>
      <c r="AH99" s="3">
        <v>0</v>
      </c>
      <c r="AI99" s="3">
        <v>0</v>
      </c>
      <c r="AJ99" s="3">
        <v>0</v>
      </c>
      <c r="AK99" s="3">
        <v>0.24089635854341701</v>
      </c>
      <c r="AL99" s="3">
        <v>0</v>
      </c>
      <c r="AM99" s="3">
        <v>0.75910364145658304</v>
      </c>
      <c r="AN99" s="3">
        <v>3.1176470588235299</v>
      </c>
      <c r="AO99" s="3">
        <v>0.95495495495495497</v>
      </c>
      <c r="AP99" s="3">
        <v>0.58426966292134797</v>
      </c>
      <c r="AQ99" s="3" t="s">
        <v>774</v>
      </c>
      <c r="AR99" s="3" t="s">
        <v>775</v>
      </c>
      <c r="AS99" s="3" t="s">
        <v>776</v>
      </c>
      <c r="AT99" s="3" t="s">
        <v>636</v>
      </c>
      <c r="AU99" s="4">
        <v>1</v>
      </c>
      <c r="AV99" s="5">
        <v>0.97509999999999997</v>
      </c>
      <c r="AW99" s="10" t="s">
        <v>726</v>
      </c>
      <c r="AX99" s="6" t="s">
        <v>925</v>
      </c>
    </row>
    <row r="100" spans="1:50" ht="42" hidden="1" x14ac:dyDescent="0.2">
      <c r="A100" s="3" t="s">
        <v>227</v>
      </c>
      <c r="B100" s="3" t="s">
        <v>70</v>
      </c>
      <c r="C100" s="3">
        <v>437775861</v>
      </c>
      <c r="D100" s="3" t="s">
        <v>139</v>
      </c>
      <c r="E100" s="3" t="s">
        <v>45</v>
      </c>
      <c r="F100" s="3" t="s">
        <v>46</v>
      </c>
      <c r="G100" s="3" t="s">
        <v>45</v>
      </c>
      <c r="H100" s="3" t="s">
        <v>214</v>
      </c>
      <c r="I100" s="3" t="s">
        <v>181</v>
      </c>
      <c r="J100" s="20" t="s">
        <v>228</v>
      </c>
      <c r="K100" s="3">
        <v>0.33254716981132099</v>
      </c>
      <c r="L100" s="3">
        <v>424</v>
      </c>
      <c r="M100" s="3">
        <v>-0.84490148948654598</v>
      </c>
      <c r="N100" s="20" t="s">
        <v>229</v>
      </c>
      <c r="O100" s="20" t="s">
        <v>230</v>
      </c>
      <c r="P100" s="3">
        <v>196</v>
      </c>
      <c r="Q100" s="3">
        <v>0</v>
      </c>
      <c r="R100" s="3">
        <v>0</v>
      </c>
      <c r="S100" s="3">
        <v>179</v>
      </c>
      <c r="T100" s="3">
        <v>54</v>
      </c>
      <c r="U100" s="3">
        <v>0</v>
      </c>
      <c r="V100" s="3">
        <v>0</v>
      </c>
      <c r="W100" s="3">
        <v>0</v>
      </c>
      <c r="X100" s="3">
        <v>0</v>
      </c>
      <c r="Y100" s="3">
        <v>0</v>
      </c>
      <c r="Z100" s="3">
        <v>0</v>
      </c>
      <c r="AA100" s="3">
        <v>0.125874125874126</v>
      </c>
      <c r="AB100" s="3">
        <v>0</v>
      </c>
      <c r="AC100" s="3">
        <v>0</v>
      </c>
      <c r="AD100" s="3">
        <v>0</v>
      </c>
      <c r="AE100" s="3">
        <v>0</v>
      </c>
      <c r="AF100" s="3">
        <v>0.456876456876457</v>
      </c>
      <c r="AG100" s="3">
        <v>0.417249417249417</v>
      </c>
      <c r="AH100" s="3">
        <v>0</v>
      </c>
      <c r="AI100" s="3">
        <v>0</v>
      </c>
      <c r="AJ100" s="3">
        <v>0</v>
      </c>
      <c r="AK100" s="3">
        <v>0</v>
      </c>
      <c r="AL100" s="3">
        <v>0.665501165501166</v>
      </c>
      <c r="AM100" s="3">
        <v>0.334498834498835</v>
      </c>
      <c r="AN100" s="3">
        <v>72.584905660377402</v>
      </c>
      <c r="AO100" s="3">
        <v>72.193181818181799</v>
      </c>
      <c r="AP100" s="3">
        <v>72.210256410256406</v>
      </c>
      <c r="AQ100" s="3" t="s">
        <v>899</v>
      </c>
      <c r="AR100" s="3" t="s">
        <v>900</v>
      </c>
      <c r="AS100" s="3" t="s">
        <v>913</v>
      </c>
      <c r="AT100" s="3"/>
      <c r="AU100" s="3"/>
      <c r="AV100" s="3"/>
      <c r="AW100" s="8" t="s">
        <v>734</v>
      </c>
      <c r="AX100" s="6" t="s">
        <v>735</v>
      </c>
    </row>
    <row r="101" spans="1:50" hidden="1" x14ac:dyDescent="0.2">
      <c r="A101" s="3" t="s">
        <v>459</v>
      </c>
      <c r="B101" s="3" t="s">
        <v>57</v>
      </c>
      <c r="C101" s="3">
        <v>53540326</v>
      </c>
      <c r="D101" s="3" t="s">
        <v>225</v>
      </c>
      <c r="E101" s="3" t="s">
        <v>59</v>
      </c>
      <c r="F101" s="3" t="s">
        <v>46</v>
      </c>
      <c r="G101" s="3" t="s">
        <v>46</v>
      </c>
      <c r="H101" s="3" t="s">
        <v>255</v>
      </c>
      <c r="I101" s="3" t="s">
        <v>432</v>
      </c>
      <c r="J101" s="20" t="s">
        <v>460</v>
      </c>
      <c r="K101" s="3">
        <v>9.8039215686274196E-3</v>
      </c>
      <c r="L101" s="3">
        <v>306</v>
      </c>
      <c r="M101" s="3">
        <v>15.369248345316</v>
      </c>
      <c r="N101" s="3">
        <v>1.4674515431360399E-4</v>
      </c>
      <c r="O101" s="20" t="s">
        <v>461</v>
      </c>
      <c r="P101" s="3">
        <v>34</v>
      </c>
      <c r="Q101" s="3">
        <v>0</v>
      </c>
      <c r="R101" s="3">
        <v>0</v>
      </c>
      <c r="S101" s="3">
        <v>0</v>
      </c>
      <c r="T101" s="3">
        <v>0</v>
      </c>
      <c r="U101" s="3">
        <v>175</v>
      </c>
      <c r="V101" s="3">
        <v>148</v>
      </c>
      <c r="W101" s="3">
        <v>0</v>
      </c>
      <c r="X101" s="3">
        <v>0</v>
      </c>
      <c r="Y101" s="3">
        <v>0</v>
      </c>
      <c r="Z101" s="3">
        <v>0</v>
      </c>
      <c r="AA101" s="3">
        <v>0</v>
      </c>
      <c r="AB101" s="3">
        <v>0.49019607843137297</v>
      </c>
      <c r="AC101" s="3">
        <v>0</v>
      </c>
      <c r="AD101" s="3">
        <v>0</v>
      </c>
      <c r="AE101" s="3">
        <v>0</v>
      </c>
      <c r="AF101" s="3">
        <v>9.5238095238095205E-2</v>
      </c>
      <c r="AG101" s="3">
        <v>0</v>
      </c>
      <c r="AH101" s="3">
        <v>0</v>
      </c>
      <c r="AI101" s="3">
        <v>0.41456582633053202</v>
      </c>
      <c r="AJ101" s="3">
        <v>0</v>
      </c>
      <c r="AK101" s="3">
        <v>0.69747899159663895</v>
      </c>
      <c r="AL101" s="3">
        <v>0.30252100840336099</v>
      </c>
      <c r="AM101" s="3">
        <v>0</v>
      </c>
      <c r="AN101" s="3">
        <v>1.28125</v>
      </c>
      <c r="AO101" s="3">
        <v>0.828125</v>
      </c>
      <c r="AP101" s="3">
        <v>0.79452054794520499</v>
      </c>
      <c r="AQ101" s="3"/>
      <c r="AR101" s="3"/>
      <c r="AS101" s="3"/>
      <c r="AT101" s="3"/>
      <c r="AU101" s="3"/>
      <c r="AV101" s="3"/>
      <c r="AW101" s="6"/>
      <c r="AX101" s="6"/>
    </row>
    <row r="102" spans="1:50" hidden="1" x14ac:dyDescent="0.2">
      <c r="A102" s="3" t="s">
        <v>189</v>
      </c>
      <c r="B102" s="3" t="s">
        <v>97</v>
      </c>
      <c r="C102" s="3">
        <v>358044988</v>
      </c>
      <c r="D102" s="3" t="s">
        <v>71</v>
      </c>
      <c r="E102" s="3" t="s">
        <v>45</v>
      </c>
      <c r="F102" s="3" t="s">
        <v>59</v>
      </c>
      <c r="G102" s="3" t="s">
        <v>59</v>
      </c>
      <c r="H102" s="3" t="s">
        <v>142</v>
      </c>
      <c r="I102" s="3" t="s">
        <v>181</v>
      </c>
      <c r="J102" s="20" t="s">
        <v>190</v>
      </c>
      <c r="K102" s="3">
        <v>0.122931442080378</v>
      </c>
      <c r="L102" s="3">
        <v>423</v>
      </c>
      <c r="M102" s="3">
        <v>0.16880918326776501</v>
      </c>
      <c r="N102" s="3">
        <v>3.3616318529107701E-3</v>
      </c>
      <c r="O102" s="20" t="s">
        <v>191</v>
      </c>
      <c r="P102" s="3">
        <v>0</v>
      </c>
      <c r="Q102" s="3">
        <v>0</v>
      </c>
      <c r="R102" s="3">
        <v>0</v>
      </c>
      <c r="S102" s="3">
        <v>0</v>
      </c>
      <c r="T102" s="3">
        <v>387</v>
      </c>
      <c r="U102" s="3">
        <v>3</v>
      </c>
      <c r="V102" s="3">
        <v>0</v>
      </c>
      <c r="W102" s="3">
        <v>39</v>
      </c>
      <c r="X102" s="3">
        <v>0</v>
      </c>
      <c r="Y102" s="3">
        <v>0</v>
      </c>
      <c r="Z102" s="3">
        <v>9.0909090909090898E-2</v>
      </c>
      <c r="AA102" s="3">
        <v>0.90209790209790197</v>
      </c>
      <c r="AB102" s="3">
        <v>6.9930069930069904E-3</v>
      </c>
      <c r="AC102" s="3">
        <v>0</v>
      </c>
      <c r="AD102" s="3">
        <v>0</v>
      </c>
      <c r="AE102" s="3">
        <v>0</v>
      </c>
      <c r="AF102" s="3">
        <v>0</v>
      </c>
      <c r="AG102" s="3">
        <v>0</v>
      </c>
      <c r="AH102" s="3">
        <v>0</v>
      </c>
      <c r="AI102" s="3">
        <v>0</v>
      </c>
      <c r="AJ102" s="3">
        <v>0</v>
      </c>
      <c r="AK102" s="3">
        <v>5.2447552447552399E-2</v>
      </c>
      <c r="AL102" s="3">
        <v>0</v>
      </c>
      <c r="AM102" s="3">
        <v>0.94755244755244705</v>
      </c>
      <c r="AN102" s="3">
        <v>0.46666666666666701</v>
      </c>
      <c r="AO102" s="3">
        <v>0.20256410256410301</v>
      </c>
      <c r="AP102" s="3">
        <v>0.28425196850393702</v>
      </c>
      <c r="AQ102" s="3"/>
      <c r="AR102" s="3"/>
      <c r="AS102" s="3"/>
      <c r="AT102" s="3"/>
      <c r="AU102" s="3"/>
      <c r="AV102" s="3"/>
      <c r="AW102" s="6"/>
      <c r="AX102" s="6"/>
    </row>
    <row r="103" spans="1:50" ht="70" hidden="1" x14ac:dyDescent="0.2">
      <c r="A103" s="3" t="s">
        <v>192</v>
      </c>
      <c r="B103" s="3" t="s">
        <v>100</v>
      </c>
      <c r="C103" s="3">
        <v>39707358</v>
      </c>
      <c r="D103" s="3" t="s">
        <v>67</v>
      </c>
      <c r="E103" s="3" t="s">
        <v>46</v>
      </c>
      <c r="F103" s="3" t="s">
        <v>53</v>
      </c>
      <c r="G103" s="3" t="s">
        <v>46</v>
      </c>
      <c r="H103" s="3" t="s">
        <v>142</v>
      </c>
      <c r="I103" s="3" t="s">
        <v>181</v>
      </c>
      <c r="J103" s="20" t="s">
        <v>193</v>
      </c>
      <c r="K103" s="3">
        <v>0.10165484633569701</v>
      </c>
      <c r="L103" s="3">
        <v>423</v>
      </c>
      <c r="M103" s="3">
        <v>-0.19809708946130899</v>
      </c>
      <c r="N103" s="3">
        <v>2.4868295885466902E-4</v>
      </c>
      <c r="O103" s="20" t="s">
        <v>194</v>
      </c>
      <c r="P103" s="3">
        <v>22</v>
      </c>
      <c r="Q103" s="3">
        <v>180</v>
      </c>
      <c r="R103" s="3">
        <v>227</v>
      </c>
      <c r="S103" s="3">
        <v>0</v>
      </c>
      <c r="T103" s="3">
        <v>0</v>
      </c>
      <c r="U103" s="3">
        <v>0</v>
      </c>
      <c r="V103" s="3">
        <v>0</v>
      </c>
      <c r="W103" s="3">
        <v>0</v>
      </c>
      <c r="X103" s="3">
        <v>0</v>
      </c>
      <c r="Y103" s="3">
        <v>0</v>
      </c>
      <c r="Z103" s="3">
        <v>0</v>
      </c>
      <c r="AA103" s="3">
        <v>0</v>
      </c>
      <c r="AB103" s="3">
        <v>0</v>
      </c>
      <c r="AC103" s="3">
        <v>0</v>
      </c>
      <c r="AD103" s="3">
        <v>0.52913752913752898</v>
      </c>
      <c r="AE103" s="3">
        <v>0.41958041958042003</v>
      </c>
      <c r="AF103" s="3">
        <v>5.1282051282051301E-2</v>
      </c>
      <c r="AG103" s="3">
        <v>0</v>
      </c>
      <c r="AH103" s="3">
        <v>0</v>
      </c>
      <c r="AI103" s="3">
        <v>0</v>
      </c>
      <c r="AJ103" s="3">
        <v>0.738927738927739</v>
      </c>
      <c r="AK103" s="3">
        <v>0</v>
      </c>
      <c r="AL103" s="3">
        <v>0.261072261072261</v>
      </c>
      <c r="AM103" s="3">
        <v>0</v>
      </c>
      <c r="AN103" s="3">
        <v>0.185714285714286</v>
      </c>
      <c r="AO103" s="3">
        <v>0.28258426966292099</v>
      </c>
      <c r="AP103" s="3">
        <v>0.283035714285714</v>
      </c>
      <c r="AQ103" s="3" t="s">
        <v>914</v>
      </c>
      <c r="AR103" s="3"/>
      <c r="AS103" s="3" t="s">
        <v>652</v>
      </c>
      <c r="AT103" s="3" t="s">
        <v>653</v>
      </c>
      <c r="AU103" s="4">
        <v>1</v>
      </c>
      <c r="AV103" s="5">
        <v>0.91539999999999999</v>
      </c>
      <c r="AW103" s="10" t="s">
        <v>654</v>
      </c>
      <c r="AX103" s="6" t="s">
        <v>655</v>
      </c>
    </row>
    <row r="104" spans="1:50" hidden="1" x14ac:dyDescent="0.2">
      <c r="A104" s="3" t="s">
        <v>453</v>
      </c>
      <c r="B104" s="3" t="s">
        <v>108</v>
      </c>
      <c r="C104" s="3">
        <v>49596960</v>
      </c>
      <c r="D104" s="3" t="s">
        <v>58</v>
      </c>
      <c r="E104" s="3" t="s">
        <v>59</v>
      </c>
      <c r="F104" s="3" t="s">
        <v>46</v>
      </c>
      <c r="G104" s="3" t="s">
        <v>46</v>
      </c>
      <c r="H104" s="3" t="s">
        <v>86</v>
      </c>
      <c r="I104" s="3" t="s">
        <v>432</v>
      </c>
      <c r="J104" s="20" t="s">
        <v>454</v>
      </c>
      <c r="K104" s="3">
        <v>3.13479623824453E-3</v>
      </c>
      <c r="L104" s="3">
        <v>319</v>
      </c>
      <c r="M104" s="3">
        <v>-10.2048414032599</v>
      </c>
      <c r="N104" s="20" t="s">
        <v>439</v>
      </c>
      <c r="O104" s="20" t="s">
        <v>455</v>
      </c>
      <c r="P104" s="3">
        <v>98</v>
      </c>
      <c r="Q104" s="3">
        <v>0</v>
      </c>
      <c r="R104" s="3">
        <v>0</v>
      </c>
      <c r="S104" s="3">
        <v>0</v>
      </c>
      <c r="T104" s="3">
        <v>0</v>
      </c>
      <c r="U104" s="3">
        <v>105</v>
      </c>
      <c r="V104" s="3">
        <v>154</v>
      </c>
      <c r="W104" s="3">
        <v>0</v>
      </c>
      <c r="X104" s="3">
        <v>0</v>
      </c>
      <c r="Y104" s="3">
        <v>0</v>
      </c>
      <c r="Z104" s="3">
        <v>0</v>
      </c>
      <c r="AA104" s="3">
        <v>0</v>
      </c>
      <c r="AB104" s="3">
        <v>0.29411764705882398</v>
      </c>
      <c r="AC104" s="3">
        <v>0</v>
      </c>
      <c r="AD104" s="3">
        <v>0</v>
      </c>
      <c r="AE104" s="3">
        <v>0</v>
      </c>
      <c r="AF104" s="3">
        <v>0.27450980392156898</v>
      </c>
      <c r="AG104" s="3">
        <v>0</v>
      </c>
      <c r="AH104" s="3">
        <v>0</v>
      </c>
      <c r="AI104" s="3">
        <v>0.43137254901960798</v>
      </c>
      <c r="AJ104" s="3">
        <v>0</v>
      </c>
      <c r="AK104" s="3">
        <v>0.50980392156862697</v>
      </c>
      <c r="AL104" s="3">
        <v>0.49019607843137297</v>
      </c>
      <c r="AM104" s="3">
        <v>0</v>
      </c>
      <c r="AN104" s="3">
        <v>3.2163043478260902</v>
      </c>
      <c r="AO104" s="3">
        <v>3.0582733812949598</v>
      </c>
      <c r="AP104" s="3">
        <v>2.7625000000000002</v>
      </c>
      <c r="AQ104" s="3" t="s">
        <v>693</v>
      </c>
      <c r="AR104" s="3" t="s">
        <v>635</v>
      </c>
      <c r="AS104" s="3" t="s">
        <v>635</v>
      </c>
      <c r="AT104" s="3" t="s">
        <v>636</v>
      </c>
      <c r="AU104" s="4">
        <v>0.99</v>
      </c>
      <c r="AV104" s="5">
        <v>0.77500000000000002</v>
      </c>
      <c r="AW104" s="6"/>
      <c r="AX104" s="6"/>
    </row>
    <row r="105" spans="1:50" hidden="1" x14ac:dyDescent="0.2">
      <c r="A105" s="3" t="s">
        <v>614</v>
      </c>
      <c r="B105" s="3" t="s">
        <v>74</v>
      </c>
      <c r="C105" s="3">
        <v>8751581</v>
      </c>
      <c r="D105" s="3" t="s">
        <v>52</v>
      </c>
      <c r="E105" s="3" t="s">
        <v>46</v>
      </c>
      <c r="F105" s="3" t="s">
        <v>53</v>
      </c>
      <c r="G105" s="3" t="s">
        <v>53</v>
      </c>
      <c r="H105" s="3" t="s">
        <v>214</v>
      </c>
      <c r="I105" s="3" t="s">
        <v>519</v>
      </c>
      <c r="J105" s="20" t="s">
        <v>615</v>
      </c>
      <c r="K105" s="3">
        <v>1.5105740181269301E-3</v>
      </c>
      <c r="L105" s="3">
        <v>331</v>
      </c>
      <c r="M105" s="3">
        <v>33.507545582062399</v>
      </c>
      <c r="N105" s="20" t="s">
        <v>616</v>
      </c>
      <c r="O105" s="20" t="s">
        <v>617</v>
      </c>
      <c r="P105" s="3">
        <v>194</v>
      </c>
      <c r="Q105" s="3">
        <v>148</v>
      </c>
      <c r="R105" s="3">
        <v>15</v>
      </c>
      <c r="S105" s="3">
        <v>0</v>
      </c>
      <c r="T105" s="3">
        <v>0</v>
      </c>
      <c r="U105" s="3">
        <v>0</v>
      </c>
      <c r="V105" s="3">
        <v>0</v>
      </c>
      <c r="W105" s="3">
        <v>0</v>
      </c>
      <c r="X105" s="3">
        <v>0</v>
      </c>
      <c r="Y105" s="3">
        <v>0</v>
      </c>
      <c r="Z105" s="3">
        <v>0</v>
      </c>
      <c r="AA105" s="3">
        <v>0</v>
      </c>
      <c r="AB105" s="3">
        <v>0</v>
      </c>
      <c r="AC105" s="3">
        <v>0</v>
      </c>
      <c r="AD105" s="3">
        <v>4.20168067226891E-2</v>
      </c>
      <c r="AE105" s="3">
        <v>0.41456582633053202</v>
      </c>
      <c r="AF105" s="3">
        <v>0.543417366946779</v>
      </c>
      <c r="AG105" s="3">
        <v>0</v>
      </c>
      <c r="AH105" s="3">
        <v>0</v>
      </c>
      <c r="AI105" s="3">
        <v>0</v>
      </c>
      <c r="AJ105" s="3">
        <v>0.24929971988795499</v>
      </c>
      <c r="AK105" s="3">
        <v>0</v>
      </c>
      <c r="AL105" s="3">
        <v>0.75070028011204504</v>
      </c>
      <c r="AM105" s="3">
        <v>0</v>
      </c>
      <c r="AN105" s="3">
        <v>74.857142857142904</v>
      </c>
      <c r="AO105" s="3">
        <v>74.620437956204398</v>
      </c>
      <c r="AP105" s="3">
        <v>74.161111111111097</v>
      </c>
      <c r="AQ105" s="3"/>
      <c r="AR105" s="3"/>
      <c r="AS105" s="3"/>
      <c r="AT105" s="3"/>
      <c r="AU105" s="3"/>
      <c r="AV105" s="3"/>
      <c r="AW105" s="6"/>
      <c r="AX105" s="6"/>
    </row>
    <row r="106" spans="1:50" hidden="1" x14ac:dyDescent="0.2">
      <c r="A106" s="3" t="s">
        <v>407</v>
      </c>
      <c r="B106" s="3" t="s">
        <v>120</v>
      </c>
      <c r="C106" s="3">
        <v>389593959</v>
      </c>
      <c r="D106" s="3" t="s">
        <v>85</v>
      </c>
      <c r="E106" s="3" t="s">
        <v>53</v>
      </c>
      <c r="F106" s="3" t="s">
        <v>45</v>
      </c>
      <c r="G106" s="3" t="s">
        <v>45</v>
      </c>
      <c r="H106" s="3" t="s">
        <v>408</v>
      </c>
      <c r="I106" s="3" t="s">
        <v>369</v>
      </c>
      <c r="J106" s="20" t="s">
        <v>409</v>
      </c>
      <c r="K106" s="3">
        <v>0.144951140065147</v>
      </c>
      <c r="L106" s="3">
        <v>307</v>
      </c>
      <c r="M106" s="3">
        <v>-4.9286365043898099</v>
      </c>
      <c r="N106" s="3">
        <v>6.7979149344071501E-3</v>
      </c>
      <c r="O106" s="3">
        <v>0</v>
      </c>
      <c r="P106" s="3">
        <v>0</v>
      </c>
      <c r="Q106" s="3">
        <v>0</v>
      </c>
      <c r="R106" s="3">
        <v>285</v>
      </c>
      <c r="S106" s="3">
        <v>0</v>
      </c>
      <c r="T106" s="3">
        <v>7</v>
      </c>
      <c r="U106" s="3">
        <v>0</v>
      </c>
      <c r="V106" s="3">
        <v>0</v>
      </c>
      <c r="W106" s="3">
        <v>0</v>
      </c>
      <c r="X106" s="3">
        <v>0</v>
      </c>
      <c r="Y106" s="3">
        <v>72</v>
      </c>
      <c r="Z106" s="3">
        <v>0</v>
      </c>
      <c r="AA106" s="3">
        <v>1.9230769230769201E-2</v>
      </c>
      <c r="AB106" s="3">
        <v>0</v>
      </c>
      <c r="AC106" s="3">
        <v>0</v>
      </c>
      <c r="AD106" s="3">
        <v>0.78296703296703296</v>
      </c>
      <c r="AE106" s="3">
        <v>0</v>
      </c>
      <c r="AF106" s="3">
        <v>0</v>
      </c>
      <c r="AG106" s="3">
        <v>0</v>
      </c>
      <c r="AH106" s="3">
        <v>0.19780219780219799</v>
      </c>
      <c r="AI106" s="3">
        <v>0</v>
      </c>
      <c r="AJ106" s="3">
        <v>0.88186813186813195</v>
      </c>
      <c r="AK106" s="3">
        <v>0</v>
      </c>
      <c r="AL106" s="3">
        <v>0</v>
      </c>
      <c r="AM106" s="3">
        <v>0.118131868131868</v>
      </c>
      <c r="AN106" s="3">
        <v>15</v>
      </c>
      <c r="AO106" s="3">
        <v>14.714285714285699</v>
      </c>
      <c r="AP106" s="3">
        <v>14.236286919831199</v>
      </c>
      <c r="AQ106" s="3"/>
      <c r="AR106" s="3"/>
      <c r="AS106" s="3"/>
      <c r="AT106" s="3"/>
      <c r="AU106" s="3"/>
      <c r="AV106" s="3"/>
      <c r="AW106" s="6"/>
      <c r="AX106" s="6"/>
    </row>
    <row r="107" spans="1:50" hidden="1" x14ac:dyDescent="0.2">
      <c r="A107" s="3" t="s">
        <v>413</v>
      </c>
      <c r="B107" s="3" t="s">
        <v>169</v>
      </c>
      <c r="C107" s="3">
        <v>142550878</v>
      </c>
      <c r="D107" s="3" t="s">
        <v>52</v>
      </c>
      <c r="E107" s="3" t="s">
        <v>46</v>
      </c>
      <c r="F107" s="3" t="s">
        <v>53</v>
      </c>
      <c r="G107" s="3" t="s">
        <v>53</v>
      </c>
      <c r="H107" s="3" t="s">
        <v>408</v>
      </c>
      <c r="I107" s="3" t="s">
        <v>369</v>
      </c>
      <c r="J107" s="20" t="s">
        <v>414</v>
      </c>
      <c r="K107" s="3">
        <v>0.47231270358306199</v>
      </c>
      <c r="L107" s="3">
        <v>307</v>
      </c>
      <c r="M107" s="3">
        <v>9.0500075852362993</v>
      </c>
      <c r="N107" s="3">
        <v>2.05144095966356E-4</v>
      </c>
      <c r="O107" s="3">
        <v>0</v>
      </c>
      <c r="P107" s="3">
        <v>338</v>
      </c>
      <c r="Q107" s="3">
        <v>23</v>
      </c>
      <c r="R107" s="3">
        <v>3</v>
      </c>
      <c r="S107" s="3">
        <v>0</v>
      </c>
      <c r="T107" s="3">
        <v>0</v>
      </c>
      <c r="U107" s="3">
        <v>0</v>
      </c>
      <c r="V107" s="3">
        <v>0</v>
      </c>
      <c r="W107" s="3">
        <v>0</v>
      </c>
      <c r="X107" s="3">
        <v>0</v>
      </c>
      <c r="Y107" s="3">
        <v>0</v>
      </c>
      <c r="Z107" s="3">
        <v>0</v>
      </c>
      <c r="AA107" s="3">
        <v>0</v>
      </c>
      <c r="AB107" s="3">
        <v>0</v>
      </c>
      <c r="AC107" s="3">
        <v>0</v>
      </c>
      <c r="AD107" s="3">
        <v>8.2417582417582402E-3</v>
      </c>
      <c r="AE107" s="3">
        <v>6.3186813186813198E-2</v>
      </c>
      <c r="AF107" s="3">
        <v>0.92857142857142905</v>
      </c>
      <c r="AG107" s="3">
        <v>0</v>
      </c>
      <c r="AH107" s="3">
        <v>0</v>
      </c>
      <c r="AI107" s="3">
        <v>0</v>
      </c>
      <c r="AJ107" s="3">
        <v>3.9835164835164798E-2</v>
      </c>
      <c r="AK107" s="3">
        <v>0</v>
      </c>
      <c r="AL107" s="3">
        <v>0.96016483516483497</v>
      </c>
      <c r="AM107" s="3">
        <v>0</v>
      </c>
      <c r="AN107" s="3">
        <v>3.5</v>
      </c>
      <c r="AO107" s="3">
        <v>16.149999999999999</v>
      </c>
      <c r="AP107" s="3">
        <v>14.3017543859649</v>
      </c>
      <c r="AQ107" s="3"/>
      <c r="AR107" s="3"/>
      <c r="AS107" s="3"/>
      <c r="AT107" s="3"/>
      <c r="AU107" s="3"/>
      <c r="AV107" s="3"/>
      <c r="AW107" s="6"/>
      <c r="AX107" s="6"/>
    </row>
    <row r="108" spans="1:50" hidden="1" x14ac:dyDescent="0.2">
      <c r="A108" s="3" t="s">
        <v>601</v>
      </c>
      <c r="B108" s="3" t="s">
        <v>152</v>
      </c>
      <c r="C108" s="3">
        <v>676779696</v>
      </c>
      <c r="D108" s="3" t="s">
        <v>260</v>
      </c>
      <c r="E108" s="3" t="s">
        <v>53</v>
      </c>
      <c r="F108" s="3" t="s">
        <v>59</v>
      </c>
      <c r="G108" s="3" t="s">
        <v>59</v>
      </c>
      <c r="H108" s="3" t="s">
        <v>408</v>
      </c>
      <c r="I108" s="3" t="s">
        <v>519</v>
      </c>
      <c r="J108" s="20" t="s">
        <v>602</v>
      </c>
      <c r="K108" s="3">
        <v>1.5337423312883299E-3</v>
      </c>
      <c r="L108" s="3">
        <v>326</v>
      </c>
      <c r="M108" s="3">
        <v>-52.3528922495261</v>
      </c>
      <c r="N108" s="3">
        <v>3.3378039398926899E-4</v>
      </c>
      <c r="O108" s="3">
        <v>0</v>
      </c>
      <c r="P108" s="3">
        <v>0</v>
      </c>
      <c r="Q108" s="3">
        <v>0</v>
      </c>
      <c r="R108" s="3">
        <v>335</v>
      </c>
      <c r="S108" s="3">
        <v>0</v>
      </c>
      <c r="T108" s="3">
        <v>0</v>
      </c>
      <c r="U108" s="3">
        <v>0</v>
      </c>
      <c r="V108" s="3">
        <v>0</v>
      </c>
      <c r="W108" s="3">
        <v>0</v>
      </c>
      <c r="X108" s="3">
        <v>22</v>
      </c>
      <c r="Y108" s="3">
        <v>0</v>
      </c>
      <c r="Z108" s="3">
        <v>0</v>
      </c>
      <c r="AA108" s="3">
        <v>0</v>
      </c>
      <c r="AB108" s="3">
        <v>0</v>
      </c>
      <c r="AC108" s="3">
        <v>6.1624649859944002E-2</v>
      </c>
      <c r="AD108" s="3">
        <v>0.93837535014005602</v>
      </c>
      <c r="AE108" s="3">
        <v>0</v>
      </c>
      <c r="AF108" s="3">
        <v>0</v>
      </c>
      <c r="AG108" s="3">
        <v>0</v>
      </c>
      <c r="AH108" s="3">
        <v>0</v>
      </c>
      <c r="AI108" s="3">
        <v>0</v>
      </c>
      <c r="AJ108" s="3">
        <v>0.96918767507002801</v>
      </c>
      <c r="AK108" s="3">
        <v>3.0812324929972001E-2</v>
      </c>
      <c r="AL108" s="3">
        <v>0</v>
      </c>
      <c r="AM108" s="3">
        <v>0</v>
      </c>
      <c r="AN108" s="3" t="s">
        <v>55</v>
      </c>
      <c r="AO108" s="3">
        <v>8.75</v>
      </c>
      <c r="AP108" s="3">
        <v>11.516339869281</v>
      </c>
      <c r="AQ108" s="3"/>
      <c r="AR108" s="3"/>
      <c r="AS108" s="3"/>
      <c r="AT108" s="3"/>
      <c r="AU108" s="3"/>
      <c r="AV108" s="3"/>
      <c r="AW108" s="6"/>
      <c r="AX108" s="6"/>
    </row>
    <row r="109" spans="1:50" ht="42" hidden="1" x14ac:dyDescent="0.2">
      <c r="A109" s="3" t="s">
        <v>606</v>
      </c>
      <c r="B109" s="3" t="s">
        <v>224</v>
      </c>
      <c r="C109" s="3">
        <v>457292509</v>
      </c>
      <c r="D109" s="3" t="s">
        <v>71</v>
      </c>
      <c r="E109" s="3" t="s">
        <v>45</v>
      </c>
      <c r="F109" s="3" t="s">
        <v>59</v>
      </c>
      <c r="G109" s="3" t="s">
        <v>59</v>
      </c>
      <c r="H109" s="3" t="s">
        <v>408</v>
      </c>
      <c r="I109" s="3" t="s">
        <v>519</v>
      </c>
      <c r="J109" s="20" t="s">
        <v>607</v>
      </c>
      <c r="K109" s="3">
        <v>0.36809815950920199</v>
      </c>
      <c r="L109" s="3">
        <v>326</v>
      </c>
      <c r="M109" s="3">
        <v>3.0258163766129198</v>
      </c>
      <c r="N109" s="3">
        <v>2.3147143098225802E-3</v>
      </c>
      <c r="O109" s="3">
        <v>0</v>
      </c>
      <c r="P109" s="3">
        <v>0</v>
      </c>
      <c r="Q109" s="3">
        <v>0</v>
      </c>
      <c r="R109" s="3">
        <v>0</v>
      </c>
      <c r="S109" s="3">
        <v>0</v>
      </c>
      <c r="T109" s="3">
        <v>149</v>
      </c>
      <c r="U109" s="3">
        <v>0</v>
      </c>
      <c r="V109" s="3">
        <v>0</v>
      </c>
      <c r="W109" s="3">
        <v>208</v>
      </c>
      <c r="X109" s="3">
        <v>0</v>
      </c>
      <c r="Y109" s="3">
        <v>0</v>
      </c>
      <c r="Z109" s="3">
        <v>0.582633053221289</v>
      </c>
      <c r="AA109" s="3">
        <v>0.417366946778712</v>
      </c>
      <c r="AB109" s="3">
        <v>0</v>
      </c>
      <c r="AC109" s="3">
        <v>0</v>
      </c>
      <c r="AD109" s="3">
        <v>0</v>
      </c>
      <c r="AE109" s="3">
        <v>0</v>
      </c>
      <c r="AF109" s="3">
        <v>0</v>
      </c>
      <c r="AG109" s="3">
        <v>0</v>
      </c>
      <c r="AH109" s="3">
        <v>0</v>
      </c>
      <c r="AI109" s="3">
        <v>0</v>
      </c>
      <c r="AJ109" s="3">
        <v>0</v>
      </c>
      <c r="AK109" s="3">
        <v>0.291316526610644</v>
      </c>
      <c r="AL109" s="3">
        <v>0</v>
      </c>
      <c r="AM109" s="3">
        <v>0.708683473389356</v>
      </c>
      <c r="AN109" s="3" t="s">
        <v>55</v>
      </c>
      <c r="AO109" s="3">
        <v>11.9153439153439</v>
      </c>
      <c r="AP109" s="3">
        <v>10.562043795620401</v>
      </c>
      <c r="AQ109" s="3" t="s">
        <v>629</v>
      </c>
      <c r="AR109" s="3" t="s">
        <v>630</v>
      </c>
      <c r="AS109" s="3" t="s">
        <v>913</v>
      </c>
      <c r="AT109" s="3"/>
      <c r="AU109" s="3"/>
      <c r="AV109" s="3"/>
      <c r="AW109" s="7" t="s">
        <v>631</v>
      </c>
      <c r="AX109" s="6" t="s">
        <v>632</v>
      </c>
    </row>
    <row r="110" spans="1:50" ht="56" hidden="1" x14ac:dyDescent="0.2">
      <c r="A110" s="3" t="s">
        <v>594</v>
      </c>
      <c r="B110" s="3" t="s">
        <v>70</v>
      </c>
      <c r="C110" s="3">
        <v>67144799</v>
      </c>
      <c r="D110" s="3" t="s">
        <v>58</v>
      </c>
      <c r="E110" s="3" t="s">
        <v>59</v>
      </c>
      <c r="F110" s="3" t="s">
        <v>46</v>
      </c>
      <c r="G110" s="3" t="s">
        <v>59</v>
      </c>
      <c r="H110" s="3" t="s">
        <v>408</v>
      </c>
      <c r="I110" s="3" t="s">
        <v>519</v>
      </c>
      <c r="J110" s="20" t="s">
        <v>608</v>
      </c>
      <c r="K110" s="3">
        <v>2.6073619631901801E-2</v>
      </c>
      <c r="L110" s="3">
        <v>326</v>
      </c>
      <c r="M110" s="3">
        <v>-10.259584876167899</v>
      </c>
      <c r="N110" s="20" t="s">
        <v>609</v>
      </c>
      <c r="O110" s="3">
        <v>0</v>
      </c>
      <c r="P110" s="3">
        <v>334</v>
      </c>
      <c r="Q110" s="3">
        <v>0</v>
      </c>
      <c r="R110" s="3">
        <v>0</v>
      </c>
      <c r="S110" s="3">
        <v>0</v>
      </c>
      <c r="T110" s="3">
        <v>0</v>
      </c>
      <c r="U110" s="3">
        <v>3</v>
      </c>
      <c r="V110" s="3">
        <v>20</v>
      </c>
      <c r="W110" s="3">
        <v>0</v>
      </c>
      <c r="X110" s="3">
        <v>0</v>
      </c>
      <c r="Y110" s="3">
        <v>0</v>
      </c>
      <c r="Z110" s="3">
        <v>0</v>
      </c>
      <c r="AA110" s="3">
        <v>0</v>
      </c>
      <c r="AB110" s="3">
        <v>8.4033613445378096E-3</v>
      </c>
      <c r="AC110" s="3">
        <v>0</v>
      </c>
      <c r="AD110" s="3">
        <v>0</v>
      </c>
      <c r="AE110" s="3">
        <v>0</v>
      </c>
      <c r="AF110" s="3">
        <v>0.93557422969187698</v>
      </c>
      <c r="AG110" s="3">
        <v>0</v>
      </c>
      <c r="AH110" s="3">
        <v>0</v>
      </c>
      <c r="AI110" s="3">
        <v>5.6022408963585402E-2</v>
      </c>
      <c r="AJ110" s="3">
        <v>0</v>
      </c>
      <c r="AK110" s="3">
        <v>3.64145658263305E-2</v>
      </c>
      <c r="AL110" s="3">
        <v>0.96358543417367004</v>
      </c>
      <c r="AM110" s="3">
        <v>0</v>
      </c>
      <c r="AN110" s="3">
        <v>3.5</v>
      </c>
      <c r="AO110" s="3">
        <v>10.8888888888889</v>
      </c>
      <c r="AP110" s="3">
        <v>11.4248366013072</v>
      </c>
      <c r="AQ110" s="3" t="s">
        <v>633</v>
      </c>
      <c r="AR110" s="3" t="s">
        <v>634</v>
      </c>
      <c r="AS110" s="3" t="s">
        <v>635</v>
      </c>
      <c r="AT110" s="3" t="s">
        <v>636</v>
      </c>
      <c r="AU110" s="4">
        <v>0.51</v>
      </c>
      <c r="AV110" s="5">
        <v>0.95189999999999997</v>
      </c>
      <c r="AW110" s="8" t="s">
        <v>637</v>
      </c>
      <c r="AX110" s="6" t="s">
        <v>638</v>
      </c>
    </row>
    <row r="111" spans="1:50" ht="56" hidden="1" x14ac:dyDescent="0.2">
      <c r="A111" s="3" t="s">
        <v>610</v>
      </c>
      <c r="B111" s="3" t="s">
        <v>113</v>
      </c>
      <c r="C111" s="3">
        <v>77346874</v>
      </c>
      <c r="D111" s="3" t="s">
        <v>52</v>
      </c>
      <c r="E111" s="3" t="s">
        <v>46</v>
      </c>
      <c r="F111" s="3" t="s">
        <v>53</v>
      </c>
      <c r="G111" s="3" t="s">
        <v>53</v>
      </c>
      <c r="H111" s="3" t="s">
        <v>408</v>
      </c>
      <c r="I111" s="3" t="s">
        <v>519</v>
      </c>
      <c r="J111" s="20" t="s">
        <v>611</v>
      </c>
      <c r="K111" s="3">
        <v>1.0736196319018501E-2</v>
      </c>
      <c r="L111" s="3">
        <v>326</v>
      </c>
      <c r="M111" s="3">
        <v>-18.945628012761201</v>
      </c>
      <c r="N111" s="3">
        <v>1.3748697880029801E-3</v>
      </c>
      <c r="O111" s="3">
        <v>0</v>
      </c>
      <c r="P111" s="3">
        <v>233</v>
      </c>
      <c r="Q111" s="3">
        <v>122</v>
      </c>
      <c r="R111" s="3">
        <v>2</v>
      </c>
      <c r="S111" s="3">
        <v>0</v>
      </c>
      <c r="T111" s="3">
        <v>0</v>
      </c>
      <c r="U111" s="3">
        <v>0</v>
      </c>
      <c r="V111" s="3">
        <v>0</v>
      </c>
      <c r="W111" s="3">
        <v>0</v>
      </c>
      <c r="X111" s="3">
        <v>0</v>
      </c>
      <c r="Y111" s="3">
        <v>0</v>
      </c>
      <c r="Z111" s="3">
        <v>0</v>
      </c>
      <c r="AA111" s="3">
        <v>0</v>
      </c>
      <c r="AB111" s="3">
        <v>0</v>
      </c>
      <c r="AC111" s="3">
        <v>0</v>
      </c>
      <c r="AD111" s="3">
        <v>5.60224089635854E-3</v>
      </c>
      <c r="AE111" s="3">
        <v>0.34173669467787099</v>
      </c>
      <c r="AF111" s="3">
        <v>0.65266106442576999</v>
      </c>
      <c r="AG111" s="3">
        <v>0</v>
      </c>
      <c r="AH111" s="3">
        <v>0</v>
      </c>
      <c r="AI111" s="3">
        <v>0</v>
      </c>
      <c r="AJ111" s="3">
        <v>0.17647058823529399</v>
      </c>
      <c r="AK111" s="3">
        <v>0</v>
      </c>
      <c r="AL111" s="3">
        <v>0.82352941176470595</v>
      </c>
      <c r="AM111" s="3">
        <v>0</v>
      </c>
      <c r="AN111" s="3">
        <v>12.5</v>
      </c>
      <c r="AO111" s="3">
        <v>12.747747747747701</v>
      </c>
      <c r="AP111" s="3">
        <v>10.6056338028169</v>
      </c>
      <c r="AQ111" s="3" t="s">
        <v>914</v>
      </c>
      <c r="AR111" s="3"/>
      <c r="AS111" s="3" t="s">
        <v>639</v>
      </c>
      <c r="AT111" s="3" t="s">
        <v>636</v>
      </c>
      <c r="AU111" s="4">
        <v>0.96</v>
      </c>
      <c r="AV111" s="5">
        <v>0.94330000000000003</v>
      </c>
      <c r="AW111" s="8" t="s">
        <v>640</v>
      </c>
      <c r="AX111" s="6" t="s">
        <v>641</v>
      </c>
    </row>
    <row r="112" spans="1:50" x14ac:dyDescent="0.2">
      <c r="A112" s="3" t="s">
        <v>251</v>
      </c>
      <c r="B112" s="3" t="s">
        <v>198</v>
      </c>
      <c r="C112" s="3">
        <v>543093563</v>
      </c>
      <c r="D112" s="3" t="s">
        <v>71</v>
      </c>
      <c r="E112" s="3" t="s">
        <v>45</v>
      </c>
      <c r="F112" s="3" t="s">
        <v>59</v>
      </c>
      <c r="G112" s="3" t="s">
        <v>59</v>
      </c>
      <c r="H112" s="3" t="s">
        <v>257</v>
      </c>
      <c r="I112" s="3" t="s">
        <v>181</v>
      </c>
      <c r="J112" s="20" t="s">
        <v>258</v>
      </c>
      <c r="K112" s="3">
        <v>3.53773584905659E-3</v>
      </c>
      <c r="L112" s="3">
        <v>424</v>
      </c>
      <c r="M112" s="3">
        <v>-1.7885558574337499</v>
      </c>
      <c r="N112" s="3">
        <v>2.0967853623371498E-2</v>
      </c>
      <c r="O112" s="3">
        <v>0</v>
      </c>
      <c r="P112" s="3">
        <v>0</v>
      </c>
      <c r="Q112" s="3">
        <v>0</v>
      </c>
      <c r="R112" s="3">
        <v>0</v>
      </c>
      <c r="S112" s="3">
        <v>0</v>
      </c>
      <c r="T112" s="3">
        <v>362</v>
      </c>
      <c r="U112" s="3">
        <v>7</v>
      </c>
      <c r="V112" s="3">
        <v>0</v>
      </c>
      <c r="W112" s="3">
        <v>60</v>
      </c>
      <c r="X112" s="3">
        <v>0</v>
      </c>
      <c r="Y112" s="3">
        <v>0</v>
      </c>
      <c r="Z112" s="3">
        <v>0.13986013986014001</v>
      </c>
      <c r="AA112" s="3">
        <v>0.843822843822844</v>
      </c>
      <c r="AB112" s="3">
        <v>1.6317016317016299E-2</v>
      </c>
      <c r="AC112" s="3">
        <v>0</v>
      </c>
      <c r="AD112" s="3">
        <v>0</v>
      </c>
      <c r="AE112" s="3">
        <v>0</v>
      </c>
      <c r="AF112" s="3">
        <v>0</v>
      </c>
      <c r="AG112" s="3">
        <v>0</v>
      </c>
      <c r="AH112" s="3">
        <v>0</v>
      </c>
      <c r="AI112" s="3">
        <v>0</v>
      </c>
      <c r="AJ112" s="3">
        <v>0</v>
      </c>
      <c r="AK112" s="3">
        <v>8.6247086247086296E-2</v>
      </c>
      <c r="AL112" s="3">
        <v>0</v>
      </c>
      <c r="AM112" s="3">
        <v>0.91375291375291401</v>
      </c>
      <c r="AN112" s="3">
        <v>0.42857142857142899</v>
      </c>
      <c r="AO112" s="3">
        <v>0.41864406779661001</v>
      </c>
      <c r="AP112" s="3">
        <v>0.50893854748603395</v>
      </c>
      <c r="AQ112" s="3" t="s">
        <v>642</v>
      </c>
      <c r="AR112" s="3" t="s">
        <v>643</v>
      </c>
      <c r="AS112" s="3" t="s">
        <v>644</v>
      </c>
      <c r="AT112" s="3" t="s">
        <v>636</v>
      </c>
      <c r="AU112" s="4">
        <v>1</v>
      </c>
      <c r="AV112" s="5">
        <v>0.94030000000000002</v>
      </c>
      <c r="AW112" s="6"/>
      <c r="AX112" s="6"/>
    </row>
    <row r="113" spans="1:50" hidden="1" x14ac:dyDescent="0.2">
      <c r="A113" s="3" t="s">
        <v>141</v>
      </c>
      <c r="B113" s="3" t="s">
        <v>120</v>
      </c>
      <c r="C113" s="3">
        <v>43784785</v>
      </c>
      <c r="D113" s="3" t="s">
        <v>67</v>
      </c>
      <c r="E113" s="3" t="s">
        <v>46</v>
      </c>
      <c r="F113" s="3" t="s">
        <v>53</v>
      </c>
      <c r="G113" s="3" t="s">
        <v>53</v>
      </c>
      <c r="H113" s="3" t="s">
        <v>142</v>
      </c>
      <c r="I113" s="3" t="s">
        <v>48</v>
      </c>
      <c r="J113" s="20" t="s">
        <v>143</v>
      </c>
      <c r="K113" s="3">
        <v>7.1428571428571201E-3</v>
      </c>
      <c r="L113" s="3">
        <v>350</v>
      </c>
      <c r="M113" s="3">
        <v>-7.6463618028314499</v>
      </c>
      <c r="N113" s="20" t="s">
        <v>144</v>
      </c>
      <c r="O113" s="3">
        <v>0</v>
      </c>
      <c r="P113" s="3">
        <v>164</v>
      </c>
      <c r="Q113" s="3">
        <v>193</v>
      </c>
      <c r="R113" s="3">
        <v>72</v>
      </c>
      <c r="S113" s="3">
        <v>0</v>
      </c>
      <c r="T113" s="3">
        <v>0</v>
      </c>
      <c r="U113" s="3">
        <v>0</v>
      </c>
      <c r="V113" s="3">
        <v>0</v>
      </c>
      <c r="W113" s="3">
        <v>0</v>
      </c>
      <c r="X113" s="3">
        <v>0</v>
      </c>
      <c r="Y113" s="3">
        <v>0</v>
      </c>
      <c r="Z113" s="3">
        <v>0</v>
      </c>
      <c r="AA113" s="3">
        <v>0</v>
      </c>
      <c r="AB113" s="3">
        <v>0</v>
      </c>
      <c r="AC113" s="3">
        <v>0</v>
      </c>
      <c r="AD113" s="3">
        <v>0.16783216783216801</v>
      </c>
      <c r="AE113" s="3">
        <v>0.44988344988345003</v>
      </c>
      <c r="AF113" s="3">
        <v>0.382284382284382</v>
      </c>
      <c r="AG113" s="3">
        <v>0</v>
      </c>
      <c r="AH113" s="3">
        <v>0</v>
      </c>
      <c r="AI113" s="3">
        <v>0</v>
      </c>
      <c r="AJ113" s="3">
        <v>0.39277389277389302</v>
      </c>
      <c r="AK113" s="3">
        <v>0</v>
      </c>
      <c r="AL113" s="3">
        <v>0.60722610722610704</v>
      </c>
      <c r="AM113" s="3">
        <v>0</v>
      </c>
      <c r="AN113" s="3">
        <v>2.24545454545455</v>
      </c>
      <c r="AO113" s="3">
        <v>3.40569620253165</v>
      </c>
      <c r="AP113" s="3">
        <v>2.1549999999999998</v>
      </c>
      <c r="AQ113" s="3"/>
      <c r="AR113" s="3"/>
      <c r="AS113" s="3"/>
      <c r="AT113" s="3"/>
      <c r="AU113" s="3"/>
      <c r="AV113" s="3"/>
      <c r="AW113" s="6"/>
      <c r="AX113" s="6"/>
    </row>
    <row r="114" spans="1:50" ht="182" hidden="1" x14ac:dyDescent="0.2">
      <c r="A114" s="3" t="s">
        <v>145</v>
      </c>
      <c r="B114" s="3" t="s">
        <v>66</v>
      </c>
      <c r="C114" s="3">
        <v>70589221</v>
      </c>
      <c r="D114" s="3" t="s">
        <v>67</v>
      </c>
      <c r="E114" s="3" t="s">
        <v>46</v>
      </c>
      <c r="F114" s="3" t="s">
        <v>53</v>
      </c>
      <c r="G114" s="3" t="s">
        <v>46</v>
      </c>
      <c r="H114" s="3" t="s">
        <v>142</v>
      </c>
      <c r="I114" s="3" t="s">
        <v>48</v>
      </c>
      <c r="J114" s="20" t="s">
        <v>146</v>
      </c>
      <c r="K114" s="3">
        <v>0.28857142857142898</v>
      </c>
      <c r="L114" s="3">
        <v>350</v>
      </c>
      <c r="M114" s="3">
        <v>1.1845521732633699</v>
      </c>
      <c r="N114" s="3">
        <v>7.9444319542724604E-4</v>
      </c>
      <c r="O114" s="3">
        <v>0</v>
      </c>
      <c r="P114" s="3">
        <v>74</v>
      </c>
      <c r="Q114" s="3">
        <v>179</v>
      </c>
      <c r="R114" s="3">
        <v>176</v>
      </c>
      <c r="S114" s="3">
        <v>0</v>
      </c>
      <c r="T114" s="3">
        <v>0</v>
      </c>
      <c r="U114" s="3">
        <v>0</v>
      </c>
      <c r="V114" s="3">
        <v>0</v>
      </c>
      <c r="W114" s="3">
        <v>0</v>
      </c>
      <c r="X114" s="3">
        <v>0</v>
      </c>
      <c r="Y114" s="3">
        <v>0</v>
      </c>
      <c r="Z114" s="3">
        <v>0</v>
      </c>
      <c r="AA114" s="3">
        <v>0</v>
      </c>
      <c r="AB114" s="3">
        <v>0</v>
      </c>
      <c r="AC114" s="3">
        <v>0</v>
      </c>
      <c r="AD114" s="3">
        <v>0.41025641025641002</v>
      </c>
      <c r="AE114" s="3">
        <v>0.417249417249417</v>
      </c>
      <c r="AF114" s="3">
        <v>0.17249417249417201</v>
      </c>
      <c r="AG114" s="3">
        <v>0</v>
      </c>
      <c r="AH114" s="3">
        <v>0</v>
      </c>
      <c r="AI114" s="3">
        <v>0</v>
      </c>
      <c r="AJ114" s="3">
        <v>0.61888111888111896</v>
      </c>
      <c r="AK114" s="3">
        <v>0</v>
      </c>
      <c r="AL114" s="3">
        <v>0.38111888111888098</v>
      </c>
      <c r="AM114" s="3">
        <v>0</v>
      </c>
      <c r="AN114" s="3">
        <v>3.6540983606557398</v>
      </c>
      <c r="AO114" s="3">
        <v>2.4666666666666699</v>
      </c>
      <c r="AP114" s="3">
        <v>2.6727941176470602</v>
      </c>
      <c r="AQ114" s="3" t="s">
        <v>645</v>
      </c>
      <c r="AR114" s="3" t="s">
        <v>646</v>
      </c>
      <c r="AS114" s="3" t="s">
        <v>913</v>
      </c>
      <c r="AT114" s="3"/>
      <c r="AU114" s="3"/>
      <c r="AV114" s="3"/>
      <c r="AW114" s="10" t="s">
        <v>647</v>
      </c>
      <c r="AX114" s="6" t="s">
        <v>915</v>
      </c>
    </row>
    <row r="115" spans="1:50" hidden="1" x14ac:dyDescent="0.2">
      <c r="A115" s="3" t="s">
        <v>147</v>
      </c>
      <c r="B115" s="3" t="s">
        <v>77</v>
      </c>
      <c r="C115" s="3">
        <v>394911464</v>
      </c>
      <c r="D115" s="3" t="s">
        <v>109</v>
      </c>
      <c r="E115" s="3" t="s">
        <v>45</v>
      </c>
      <c r="F115" s="3" t="s">
        <v>59</v>
      </c>
      <c r="G115" s="3" t="s">
        <v>45</v>
      </c>
      <c r="H115" s="3" t="s">
        <v>142</v>
      </c>
      <c r="I115" s="3" t="s">
        <v>48</v>
      </c>
      <c r="J115" s="20" t="s">
        <v>148</v>
      </c>
      <c r="K115" s="3">
        <v>0.06</v>
      </c>
      <c r="L115" s="3">
        <v>350</v>
      </c>
      <c r="M115" s="3">
        <v>-2.34522552601848</v>
      </c>
      <c r="N115" s="3">
        <v>7.9444319542724604E-4</v>
      </c>
      <c r="O115" s="3">
        <v>0</v>
      </c>
      <c r="P115" s="3">
        <v>0</v>
      </c>
      <c r="Q115" s="3">
        <v>0</v>
      </c>
      <c r="R115" s="3">
        <v>0</v>
      </c>
      <c r="S115" s="3">
        <v>0</v>
      </c>
      <c r="T115" s="3">
        <v>58</v>
      </c>
      <c r="U115" s="3">
        <v>241</v>
      </c>
      <c r="V115" s="3">
        <v>0</v>
      </c>
      <c r="W115" s="3">
        <v>130</v>
      </c>
      <c r="X115" s="3">
        <v>0</v>
      </c>
      <c r="Y115" s="3">
        <v>0</v>
      </c>
      <c r="Z115" s="3">
        <v>0.30303030303030298</v>
      </c>
      <c r="AA115" s="3">
        <v>0.13519813519813501</v>
      </c>
      <c r="AB115" s="3">
        <v>0.56177156177156196</v>
      </c>
      <c r="AC115" s="3">
        <v>0</v>
      </c>
      <c r="AD115" s="3">
        <v>0</v>
      </c>
      <c r="AE115" s="3">
        <v>0</v>
      </c>
      <c r="AF115" s="3">
        <v>0</v>
      </c>
      <c r="AG115" s="3">
        <v>0</v>
      </c>
      <c r="AH115" s="3">
        <v>0</v>
      </c>
      <c r="AI115" s="3">
        <v>0</v>
      </c>
      <c r="AJ115" s="3">
        <v>0</v>
      </c>
      <c r="AK115" s="3">
        <v>0.713286713286713</v>
      </c>
      <c r="AL115" s="3">
        <v>0</v>
      </c>
      <c r="AM115" s="3">
        <v>0.286713286713287</v>
      </c>
      <c r="AN115" s="3">
        <v>2.70576923076923</v>
      </c>
      <c r="AO115" s="3">
        <v>3.1915094339622598</v>
      </c>
      <c r="AP115" s="3">
        <v>2.5249999999999999</v>
      </c>
      <c r="AQ115" s="3"/>
      <c r="AR115" s="3"/>
      <c r="AS115" s="3"/>
      <c r="AT115" s="3"/>
      <c r="AU115" s="3"/>
      <c r="AV115" s="3"/>
      <c r="AW115" s="6"/>
      <c r="AX115" s="6"/>
    </row>
    <row r="116" spans="1:50" hidden="1" x14ac:dyDescent="0.2">
      <c r="A116" s="3" t="s">
        <v>149</v>
      </c>
      <c r="B116" s="3" t="s">
        <v>77</v>
      </c>
      <c r="C116" s="3">
        <v>590255485</v>
      </c>
      <c r="D116" s="3" t="s">
        <v>58</v>
      </c>
      <c r="E116" s="3" t="s">
        <v>46</v>
      </c>
      <c r="F116" s="3" t="s">
        <v>59</v>
      </c>
      <c r="G116" s="3" t="s">
        <v>59</v>
      </c>
      <c r="H116" s="3" t="s">
        <v>142</v>
      </c>
      <c r="I116" s="3" t="s">
        <v>48</v>
      </c>
      <c r="J116" s="20" t="s">
        <v>150</v>
      </c>
      <c r="K116" s="3">
        <v>2.8571428571428901E-3</v>
      </c>
      <c r="L116" s="3">
        <v>350</v>
      </c>
      <c r="M116" s="3">
        <v>-9.1118986122244205</v>
      </c>
      <c r="N116" s="3">
        <v>7.8294402947871392E-3</v>
      </c>
      <c r="O116" s="3">
        <v>0</v>
      </c>
      <c r="P116" s="3">
        <v>379</v>
      </c>
      <c r="Q116" s="3">
        <v>0</v>
      </c>
      <c r="R116" s="3">
        <v>0</v>
      </c>
      <c r="S116" s="3">
        <v>0</v>
      </c>
      <c r="T116" s="3">
        <v>0</v>
      </c>
      <c r="U116" s="3">
        <v>1</v>
      </c>
      <c r="V116" s="3">
        <v>49</v>
      </c>
      <c r="W116" s="3">
        <v>0</v>
      </c>
      <c r="X116" s="3">
        <v>0</v>
      </c>
      <c r="Y116" s="3">
        <v>0</v>
      </c>
      <c r="Z116" s="3">
        <v>0</v>
      </c>
      <c r="AA116" s="3">
        <v>0</v>
      </c>
      <c r="AB116" s="3">
        <v>2.3310023310023301E-3</v>
      </c>
      <c r="AC116" s="3">
        <v>0</v>
      </c>
      <c r="AD116" s="3">
        <v>0</v>
      </c>
      <c r="AE116" s="3">
        <v>0</v>
      </c>
      <c r="AF116" s="3">
        <v>0.88344988344988296</v>
      </c>
      <c r="AG116" s="3">
        <v>0</v>
      </c>
      <c r="AH116" s="3">
        <v>0</v>
      </c>
      <c r="AI116" s="3">
        <v>0.114219114219114</v>
      </c>
      <c r="AJ116" s="3">
        <v>0</v>
      </c>
      <c r="AK116" s="3">
        <v>5.9440559440559398E-2</v>
      </c>
      <c r="AL116" s="3">
        <v>0.94055944055943996</v>
      </c>
      <c r="AM116" s="3">
        <v>0</v>
      </c>
      <c r="AN116" s="3">
        <v>2.1</v>
      </c>
      <c r="AO116" s="3">
        <v>2.3199999999999998</v>
      </c>
      <c r="AP116" s="3">
        <v>2.80414012738854</v>
      </c>
      <c r="AQ116" s="3"/>
      <c r="AR116" s="3"/>
      <c r="AS116" s="3"/>
      <c r="AT116" s="3"/>
      <c r="AU116" s="3"/>
      <c r="AV116" s="3"/>
      <c r="AW116" s="6"/>
      <c r="AX116" s="6"/>
    </row>
    <row r="117" spans="1:50" hidden="1" x14ac:dyDescent="0.2">
      <c r="A117" s="3" t="s">
        <v>180</v>
      </c>
      <c r="B117" s="3" t="s">
        <v>43</v>
      </c>
      <c r="C117" s="3">
        <v>158429406</v>
      </c>
      <c r="D117" s="3" t="s">
        <v>109</v>
      </c>
      <c r="E117" s="3" t="s">
        <v>59</v>
      </c>
      <c r="F117" s="3" t="s">
        <v>45</v>
      </c>
      <c r="G117" s="3" t="s">
        <v>45</v>
      </c>
      <c r="H117" s="3" t="s">
        <v>142</v>
      </c>
      <c r="I117" s="3" t="s">
        <v>181</v>
      </c>
      <c r="J117" s="20" t="s">
        <v>182</v>
      </c>
      <c r="K117" s="3">
        <v>0.15130023640661899</v>
      </c>
      <c r="L117" s="3">
        <v>423</v>
      </c>
      <c r="M117" s="3">
        <v>0.13830455435491101</v>
      </c>
      <c r="N117" s="3">
        <v>1.73914386920402E-3</v>
      </c>
      <c r="O117" s="3">
        <v>0</v>
      </c>
      <c r="P117" s="3">
        <v>0</v>
      </c>
      <c r="Q117" s="3">
        <v>0</v>
      </c>
      <c r="R117" s="3">
        <v>0</v>
      </c>
      <c r="S117" s="3">
        <v>0</v>
      </c>
      <c r="T117" s="3">
        <v>10</v>
      </c>
      <c r="U117" s="3">
        <v>310</v>
      </c>
      <c r="V117" s="3">
        <v>0</v>
      </c>
      <c r="W117" s="3">
        <v>109</v>
      </c>
      <c r="X117" s="3">
        <v>0</v>
      </c>
      <c r="Y117" s="3">
        <v>0</v>
      </c>
      <c r="Z117" s="3">
        <v>0.25407925407925402</v>
      </c>
      <c r="AA117" s="3">
        <v>2.3310023310023301E-2</v>
      </c>
      <c r="AB117" s="3">
        <v>0.72261072261072301</v>
      </c>
      <c r="AC117" s="3">
        <v>0</v>
      </c>
      <c r="AD117" s="3">
        <v>0</v>
      </c>
      <c r="AE117" s="3">
        <v>0</v>
      </c>
      <c r="AF117" s="3">
        <v>0</v>
      </c>
      <c r="AG117" s="3">
        <v>0</v>
      </c>
      <c r="AH117" s="3">
        <v>0</v>
      </c>
      <c r="AI117" s="3">
        <v>0</v>
      </c>
      <c r="AJ117" s="3">
        <v>0</v>
      </c>
      <c r="AK117" s="3">
        <v>0.84965034965035002</v>
      </c>
      <c r="AL117" s="3">
        <v>0</v>
      </c>
      <c r="AM117" s="3">
        <v>0.15034965034965</v>
      </c>
      <c r="AN117" s="3">
        <v>0.22</v>
      </c>
      <c r="AO117" s="3">
        <v>0.27685185185185202</v>
      </c>
      <c r="AP117" s="3">
        <v>0.28032786885245897</v>
      </c>
      <c r="AQ117" s="3"/>
      <c r="AR117" s="3"/>
      <c r="AS117" s="3"/>
      <c r="AT117" s="3"/>
      <c r="AU117" s="3"/>
      <c r="AV117" s="3"/>
      <c r="AW117" s="6"/>
      <c r="AX117" s="6"/>
    </row>
    <row r="118" spans="1:50" hidden="1" x14ac:dyDescent="0.2">
      <c r="A118" s="3" t="s">
        <v>183</v>
      </c>
      <c r="B118" s="3" t="s">
        <v>138</v>
      </c>
      <c r="C118" s="3">
        <v>94758098</v>
      </c>
      <c r="D118" s="3" t="s">
        <v>52</v>
      </c>
      <c r="E118" s="3" t="s">
        <v>46</v>
      </c>
      <c r="F118" s="3" t="s">
        <v>53</v>
      </c>
      <c r="G118" s="3" t="s">
        <v>53</v>
      </c>
      <c r="H118" s="3" t="s">
        <v>142</v>
      </c>
      <c r="I118" s="3" t="s">
        <v>181</v>
      </c>
      <c r="J118" s="20" t="s">
        <v>184</v>
      </c>
      <c r="K118" s="3">
        <v>4.72813238770686E-3</v>
      </c>
      <c r="L118" s="3">
        <v>423</v>
      </c>
      <c r="M118" s="3">
        <v>-0.87711297790614595</v>
      </c>
      <c r="N118" s="3">
        <v>2.4868295885466902E-4</v>
      </c>
      <c r="O118" s="3">
        <v>0</v>
      </c>
      <c r="P118" s="3">
        <v>405</v>
      </c>
      <c r="Q118" s="3">
        <v>20</v>
      </c>
      <c r="R118" s="3">
        <v>4</v>
      </c>
      <c r="S118" s="3">
        <v>0</v>
      </c>
      <c r="T118" s="3">
        <v>0</v>
      </c>
      <c r="U118" s="3">
        <v>0</v>
      </c>
      <c r="V118" s="3">
        <v>0</v>
      </c>
      <c r="W118" s="3">
        <v>0</v>
      </c>
      <c r="X118" s="3">
        <v>0</v>
      </c>
      <c r="Y118" s="3">
        <v>0</v>
      </c>
      <c r="Z118" s="3">
        <v>0</v>
      </c>
      <c r="AA118" s="3">
        <v>0</v>
      </c>
      <c r="AB118" s="3">
        <v>0</v>
      </c>
      <c r="AC118" s="3">
        <v>0</v>
      </c>
      <c r="AD118" s="3">
        <v>9.3240093240093205E-3</v>
      </c>
      <c r="AE118" s="3">
        <v>4.6620046620046603E-2</v>
      </c>
      <c r="AF118" s="3">
        <v>0.94405594405594395</v>
      </c>
      <c r="AG118" s="3">
        <v>0</v>
      </c>
      <c r="AH118" s="3">
        <v>0</v>
      </c>
      <c r="AI118" s="3">
        <v>0</v>
      </c>
      <c r="AJ118" s="3">
        <v>3.2634032634032598E-2</v>
      </c>
      <c r="AK118" s="3">
        <v>0</v>
      </c>
      <c r="AL118" s="3">
        <v>0.96736596736596703</v>
      </c>
      <c r="AM118" s="3">
        <v>0</v>
      </c>
      <c r="AN118" s="3">
        <v>0.1</v>
      </c>
      <c r="AO118" s="3">
        <v>0.31</v>
      </c>
      <c r="AP118" s="3">
        <v>0.278195488721804</v>
      </c>
      <c r="AQ118" s="3"/>
      <c r="AR118" s="3"/>
      <c r="AS118" s="3"/>
      <c r="AT118" s="3"/>
      <c r="AU118" s="3"/>
      <c r="AV118" s="3"/>
      <c r="AW118" s="6"/>
      <c r="AX118" s="6"/>
    </row>
    <row r="119" spans="1:50" ht="140" hidden="1" x14ac:dyDescent="0.2">
      <c r="A119" s="3" t="s">
        <v>185</v>
      </c>
      <c r="B119" s="3" t="s">
        <v>160</v>
      </c>
      <c r="C119" s="3">
        <v>243368005</v>
      </c>
      <c r="D119" s="3" t="s">
        <v>52</v>
      </c>
      <c r="E119" s="3" t="s">
        <v>46</v>
      </c>
      <c r="F119" s="3" t="s">
        <v>53</v>
      </c>
      <c r="G119" s="3" t="s">
        <v>53</v>
      </c>
      <c r="H119" s="3" t="s">
        <v>142</v>
      </c>
      <c r="I119" s="3" t="s">
        <v>181</v>
      </c>
      <c r="J119" s="20" t="s">
        <v>186</v>
      </c>
      <c r="K119" s="3">
        <v>3.5460992907800901E-3</v>
      </c>
      <c r="L119" s="3">
        <v>423</v>
      </c>
      <c r="M119" s="3">
        <v>-1.0670808677932699</v>
      </c>
      <c r="N119" s="3">
        <v>2.4868295885466902E-4</v>
      </c>
      <c r="O119" s="3">
        <v>0</v>
      </c>
      <c r="P119" s="3">
        <v>302</v>
      </c>
      <c r="Q119" s="3">
        <v>113</v>
      </c>
      <c r="R119" s="3">
        <v>14</v>
      </c>
      <c r="S119" s="3">
        <v>0</v>
      </c>
      <c r="T119" s="3">
        <v>0</v>
      </c>
      <c r="U119" s="3">
        <v>0</v>
      </c>
      <c r="V119" s="3">
        <v>0</v>
      </c>
      <c r="W119" s="3">
        <v>0</v>
      </c>
      <c r="X119" s="3">
        <v>0</v>
      </c>
      <c r="Y119" s="3">
        <v>0</v>
      </c>
      <c r="Z119" s="3">
        <v>0</v>
      </c>
      <c r="AA119" s="3">
        <v>0</v>
      </c>
      <c r="AB119" s="3">
        <v>0</v>
      </c>
      <c r="AC119" s="3">
        <v>0</v>
      </c>
      <c r="AD119" s="3">
        <v>3.2634032634032598E-2</v>
      </c>
      <c r="AE119" s="3">
        <v>0.26340326340326298</v>
      </c>
      <c r="AF119" s="3">
        <v>0.703962703962704</v>
      </c>
      <c r="AG119" s="3">
        <v>0</v>
      </c>
      <c r="AH119" s="3">
        <v>0</v>
      </c>
      <c r="AI119" s="3">
        <v>0</v>
      </c>
      <c r="AJ119" s="3">
        <v>0.16433566433566399</v>
      </c>
      <c r="AK119" s="3">
        <v>0</v>
      </c>
      <c r="AL119" s="3">
        <v>0.83566433566433596</v>
      </c>
      <c r="AM119" s="3">
        <v>0</v>
      </c>
      <c r="AN119" s="3">
        <v>0.238461538461538</v>
      </c>
      <c r="AO119" s="3">
        <v>0.283035714285714</v>
      </c>
      <c r="AP119" s="3">
        <v>0.27785234899328898</v>
      </c>
      <c r="AQ119" s="3" t="s">
        <v>648</v>
      </c>
      <c r="AR119" s="3" t="s">
        <v>649</v>
      </c>
      <c r="AS119" s="3" t="s">
        <v>913</v>
      </c>
      <c r="AT119" s="3"/>
      <c r="AU119" s="3"/>
      <c r="AV119" s="3"/>
      <c r="AW119" s="11" t="s">
        <v>650</v>
      </c>
      <c r="AX119" s="6" t="s">
        <v>651</v>
      </c>
    </row>
    <row r="120" spans="1:50" ht="56" hidden="1" x14ac:dyDescent="0.2">
      <c r="A120" s="3" t="s">
        <v>197</v>
      </c>
      <c r="B120" s="3" t="s">
        <v>198</v>
      </c>
      <c r="C120" s="3">
        <v>560816755</v>
      </c>
      <c r="D120" s="3" t="s">
        <v>67</v>
      </c>
      <c r="E120" s="3" t="s">
        <v>53</v>
      </c>
      <c r="F120" s="3" t="s">
        <v>46</v>
      </c>
      <c r="G120" s="3" t="s">
        <v>46</v>
      </c>
      <c r="H120" s="3" t="s">
        <v>142</v>
      </c>
      <c r="I120" s="3" t="s">
        <v>181</v>
      </c>
      <c r="J120" s="20" t="s">
        <v>199</v>
      </c>
      <c r="K120" s="3">
        <v>4.72813238770686E-3</v>
      </c>
      <c r="L120" s="3">
        <v>423</v>
      </c>
      <c r="M120" s="3">
        <v>-0.76798651003835505</v>
      </c>
      <c r="N120" s="3">
        <v>2.4868295885466902E-4</v>
      </c>
      <c r="O120" s="3">
        <v>0</v>
      </c>
      <c r="P120" s="3">
        <v>32</v>
      </c>
      <c r="Q120" s="3">
        <v>212</v>
      </c>
      <c r="R120" s="3">
        <v>185</v>
      </c>
      <c r="S120" s="3">
        <v>0</v>
      </c>
      <c r="T120" s="3">
        <v>0</v>
      </c>
      <c r="U120" s="3">
        <v>0</v>
      </c>
      <c r="V120" s="3">
        <v>0</v>
      </c>
      <c r="W120" s="3">
        <v>0</v>
      </c>
      <c r="X120" s="3">
        <v>0</v>
      </c>
      <c r="Y120" s="3">
        <v>0</v>
      </c>
      <c r="Z120" s="3">
        <v>0</v>
      </c>
      <c r="AA120" s="3">
        <v>0</v>
      </c>
      <c r="AB120" s="3">
        <v>0</v>
      </c>
      <c r="AC120" s="3">
        <v>0</v>
      </c>
      <c r="AD120" s="3">
        <v>0.43123543123543101</v>
      </c>
      <c r="AE120" s="3">
        <v>0.49417249417249398</v>
      </c>
      <c r="AF120" s="3">
        <v>7.4592074592074606E-2</v>
      </c>
      <c r="AG120" s="3">
        <v>0</v>
      </c>
      <c r="AH120" s="3">
        <v>0</v>
      </c>
      <c r="AI120" s="3">
        <v>0</v>
      </c>
      <c r="AJ120" s="3">
        <v>0.678321678321678</v>
      </c>
      <c r="AK120" s="3">
        <v>0</v>
      </c>
      <c r="AL120" s="3">
        <v>0.321678321678322</v>
      </c>
      <c r="AM120" s="3">
        <v>0</v>
      </c>
      <c r="AN120" s="3">
        <v>0.38124999999999998</v>
      </c>
      <c r="AO120" s="3">
        <v>0.26634615384615401</v>
      </c>
      <c r="AP120" s="3">
        <v>0.27322404371584702</v>
      </c>
      <c r="AQ120" s="3" t="s">
        <v>914</v>
      </c>
      <c r="AR120" s="3"/>
      <c r="AS120" s="3" t="s">
        <v>656</v>
      </c>
      <c r="AT120" s="3" t="s">
        <v>636</v>
      </c>
      <c r="AU120" s="4">
        <v>0.79</v>
      </c>
      <c r="AV120" s="5">
        <v>0.69379999999999997</v>
      </c>
      <c r="AW120" s="18" t="s">
        <v>657</v>
      </c>
      <c r="AX120" s="6" t="s">
        <v>658</v>
      </c>
    </row>
    <row r="121" spans="1:50" hidden="1" x14ac:dyDescent="0.2">
      <c r="A121" s="3" t="s">
        <v>93</v>
      </c>
      <c r="B121" s="3" t="s">
        <v>57</v>
      </c>
      <c r="C121" s="3">
        <v>533092483</v>
      </c>
      <c r="D121" s="3" t="s">
        <v>58</v>
      </c>
      <c r="E121" s="3" t="s">
        <v>46</v>
      </c>
      <c r="F121" s="3" t="s">
        <v>59</v>
      </c>
      <c r="G121" s="3" t="s">
        <v>59</v>
      </c>
      <c r="H121" s="3" t="s">
        <v>86</v>
      </c>
      <c r="I121" s="3" t="s">
        <v>48</v>
      </c>
      <c r="J121" s="20" t="s">
        <v>94</v>
      </c>
      <c r="K121" s="3">
        <v>1.32275132275128E-3</v>
      </c>
      <c r="L121" s="3">
        <v>378</v>
      </c>
      <c r="M121" s="3">
        <v>-3.6635176241119298</v>
      </c>
      <c r="N121" s="20" t="s">
        <v>95</v>
      </c>
      <c r="O121" s="3">
        <v>0</v>
      </c>
      <c r="P121" s="3">
        <v>423</v>
      </c>
      <c r="Q121" s="3">
        <v>0</v>
      </c>
      <c r="R121" s="3">
        <v>0</v>
      </c>
      <c r="S121" s="3">
        <v>0</v>
      </c>
      <c r="T121" s="3">
        <v>0</v>
      </c>
      <c r="U121" s="3">
        <v>0</v>
      </c>
      <c r="V121" s="3">
        <v>6</v>
      </c>
      <c r="W121" s="3">
        <v>0</v>
      </c>
      <c r="X121" s="3">
        <v>0</v>
      </c>
      <c r="Y121" s="3">
        <v>0</v>
      </c>
      <c r="Z121" s="3">
        <v>0</v>
      </c>
      <c r="AA121" s="3">
        <v>0</v>
      </c>
      <c r="AB121" s="3">
        <v>0</v>
      </c>
      <c r="AC121" s="3">
        <v>0</v>
      </c>
      <c r="AD121" s="3">
        <v>0</v>
      </c>
      <c r="AE121" s="3">
        <v>0</v>
      </c>
      <c r="AF121" s="3">
        <v>0.98601398601398604</v>
      </c>
      <c r="AG121" s="3">
        <v>0</v>
      </c>
      <c r="AH121" s="3">
        <v>0</v>
      </c>
      <c r="AI121" s="3">
        <v>1.3986013986014E-2</v>
      </c>
      <c r="AJ121" s="3">
        <v>0</v>
      </c>
      <c r="AK121" s="3">
        <v>6.9930069930069904E-3</v>
      </c>
      <c r="AL121" s="3">
        <v>0.99300699300699302</v>
      </c>
      <c r="AM121" s="3">
        <v>0</v>
      </c>
      <c r="AN121" s="3" t="s">
        <v>55</v>
      </c>
      <c r="AO121" s="3">
        <v>0.54</v>
      </c>
      <c r="AP121" s="3">
        <v>0.52788203753351204</v>
      </c>
      <c r="AQ121" s="3"/>
      <c r="AR121" s="3"/>
      <c r="AS121" s="3"/>
      <c r="AT121" s="3"/>
      <c r="AU121" s="3"/>
      <c r="AV121" s="3"/>
      <c r="AW121" s="6"/>
      <c r="AX121" s="6"/>
    </row>
    <row r="122" spans="1:50" hidden="1" x14ac:dyDescent="0.2">
      <c r="A122" s="3" t="s">
        <v>96</v>
      </c>
      <c r="B122" s="3" t="s">
        <v>97</v>
      </c>
      <c r="C122" s="3">
        <v>476215400</v>
      </c>
      <c r="D122" s="3" t="s">
        <v>85</v>
      </c>
      <c r="E122" s="3" t="s">
        <v>53</v>
      </c>
      <c r="F122" s="3" t="s">
        <v>45</v>
      </c>
      <c r="G122" s="3" t="s">
        <v>45</v>
      </c>
      <c r="H122" s="3" t="s">
        <v>86</v>
      </c>
      <c r="I122" s="3" t="s">
        <v>48</v>
      </c>
      <c r="J122" s="20" t="s">
        <v>98</v>
      </c>
      <c r="K122" s="3">
        <v>1.32275132275133E-2</v>
      </c>
      <c r="L122" s="3">
        <v>378</v>
      </c>
      <c r="M122" s="3">
        <v>-0.84002724876221202</v>
      </c>
      <c r="N122" s="3">
        <v>2.02953931682754E-4</v>
      </c>
      <c r="O122" s="3">
        <v>0</v>
      </c>
      <c r="P122" s="3">
        <v>0</v>
      </c>
      <c r="Q122" s="3">
        <v>0</v>
      </c>
      <c r="R122" s="3">
        <v>422</v>
      </c>
      <c r="S122" s="3">
        <v>0</v>
      </c>
      <c r="T122" s="3">
        <v>0</v>
      </c>
      <c r="U122" s="3">
        <v>0</v>
      </c>
      <c r="V122" s="3">
        <v>0</v>
      </c>
      <c r="W122" s="3">
        <v>0</v>
      </c>
      <c r="X122" s="3">
        <v>0</v>
      </c>
      <c r="Y122" s="3">
        <v>7</v>
      </c>
      <c r="Z122" s="3">
        <v>0</v>
      </c>
      <c r="AA122" s="3">
        <v>0</v>
      </c>
      <c r="AB122" s="3">
        <v>0</v>
      </c>
      <c r="AC122" s="3">
        <v>0</v>
      </c>
      <c r="AD122" s="3">
        <v>0.98368298368298401</v>
      </c>
      <c r="AE122" s="3">
        <v>0</v>
      </c>
      <c r="AF122" s="3">
        <v>0</v>
      </c>
      <c r="AG122" s="3">
        <v>0</v>
      </c>
      <c r="AH122" s="3">
        <v>1.6317016317016299E-2</v>
      </c>
      <c r="AI122" s="3">
        <v>0</v>
      </c>
      <c r="AJ122" s="3">
        <v>0.99184149184149195</v>
      </c>
      <c r="AK122" s="3">
        <v>0</v>
      </c>
      <c r="AL122" s="3">
        <v>0</v>
      </c>
      <c r="AM122" s="3">
        <v>8.1585081585081598E-3</v>
      </c>
      <c r="AN122" s="3" t="s">
        <v>55</v>
      </c>
      <c r="AO122" s="3">
        <v>0.65714285714285703</v>
      </c>
      <c r="AP122" s="3">
        <v>0.52560646900269503</v>
      </c>
      <c r="AQ122" s="3"/>
      <c r="AR122" s="3"/>
      <c r="AS122" s="3"/>
      <c r="AT122" s="3"/>
      <c r="AU122" s="3"/>
      <c r="AV122" s="3"/>
      <c r="AW122" s="6"/>
      <c r="AX122" s="6"/>
    </row>
    <row r="123" spans="1:50" ht="56" hidden="1" x14ac:dyDescent="0.2">
      <c r="A123" s="3" t="s">
        <v>244</v>
      </c>
      <c r="B123" s="3" t="s">
        <v>90</v>
      </c>
      <c r="C123" s="3">
        <v>80542653</v>
      </c>
      <c r="D123" s="3" t="s">
        <v>71</v>
      </c>
      <c r="E123" s="3" t="s">
        <v>45</v>
      </c>
      <c r="F123" s="3" t="s">
        <v>59</v>
      </c>
      <c r="G123" s="3" t="s">
        <v>59</v>
      </c>
      <c r="H123" s="3" t="s">
        <v>86</v>
      </c>
      <c r="I123" s="3" t="s">
        <v>181</v>
      </c>
      <c r="J123" s="20" t="s">
        <v>245</v>
      </c>
      <c r="K123" s="3">
        <v>3.53773584905659E-3</v>
      </c>
      <c r="L123" s="3">
        <v>424</v>
      </c>
      <c r="M123" s="3">
        <v>-6.6081586283236202</v>
      </c>
      <c r="N123" s="3">
        <v>7.6949882896136298E-3</v>
      </c>
      <c r="O123" s="3">
        <v>0</v>
      </c>
      <c r="P123" s="3">
        <v>0</v>
      </c>
      <c r="Q123" s="3">
        <v>0</v>
      </c>
      <c r="R123" s="3">
        <v>0</v>
      </c>
      <c r="S123" s="3">
        <v>0</v>
      </c>
      <c r="T123" s="3">
        <v>408</v>
      </c>
      <c r="U123" s="3">
        <v>1</v>
      </c>
      <c r="V123" s="3">
        <v>0</v>
      </c>
      <c r="W123" s="3">
        <v>20</v>
      </c>
      <c r="X123" s="3">
        <v>0</v>
      </c>
      <c r="Y123" s="3">
        <v>0</v>
      </c>
      <c r="Z123" s="3">
        <v>4.6620046620046603E-2</v>
      </c>
      <c r="AA123" s="3">
        <v>0.95104895104895104</v>
      </c>
      <c r="AB123" s="3">
        <v>2.3310023310023301E-3</v>
      </c>
      <c r="AC123" s="3">
        <v>0</v>
      </c>
      <c r="AD123" s="3">
        <v>0</v>
      </c>
      <c r="AE123" s="3">
        <v>0</v>
      </c>
      <c r="AF123" s="3">
        <v>0</v>
      </c>
      <c r="AG123" s="3">
        <v>0</v>
      </c>
      <c r="AH123" s="3">
        <v>0</v>
      </c>
      <c r="AI123" s="3">
        <v>0</v>
      </c>
      <c r="AJ123" s="3">
        <v>0</v>
      </c>
      <c r="AK123" s="3">
        <v>2.5641025641025599E-2</v>
      </c>
      <c r="AL123" s="3">
        <v>0</v>
      </c>
      <c r="AM123" s="3">
        <v>0.97435897435897401</v>
      </c>
      <c r="AN123" s="3">
        <v>2.2000000000000002</v>
      </c>
      <c r="AO123" s="3">
        <v>3.45</v>
      </c>
      <c r="AP123" s="3">
        <v>3.0158808933002499</v>
      </c>
      <c r="AQ123" s="3" t="s">
        <v>914</v>
      </c>
      <c r="AR123" s="3"/>
      <c r="AS123" s="3" t="s">
        <v>663</v>
      </c>
      <c r="AT123" s="3" t="s">
        <v>636</v>
      </c>
      <c r="AU123" s="4">
        <v>0.99</v>
      </c>
      <c r="AV123" s="4">
        <v>0.92</v>
      </c>
      <c r="AW123" s="8" t="s">
        <v>664</v>
      </c>
      <c r="AX123" s="6" t="s">
        <v>665</v>
      </c>
    </row>
    <row r="124" spans="1:50" hidden="1" x14ac:dyDescent="0.2">
      <c r="A124" s="3" t="s">
        <v>246</v>
      </c>
      <c r="B124" s="3" t="s">
        <v>57</v>
      </c>
      <c r="C124" s="3">
        <v>626554531</v>
      </c>
      <c r="D124" s="3" t="s">
        <v>85</v>
      </c>
      <c r="E124" s="3" t="s">
        <v>45</v>
      </c>
      <c r="F124" s="3" t="s">
        <v>53</v>
      </c>
      <c r="G124" s="3" t="s">
        <v>45</v>
      </c>
      <c r="H124" s="3" t="s">
        <v>86</v>
      </c>
      <c r="I124" s="3" t="s">
        <v>181</v>
      </c>
      <c r="J124" s="20" t="s">
        <v>247</v>
      </c>
      <c r="K124" s="3">
        <v>7.07547169811318E-3</v>
      </c>
      <c r="L124" s="3">
        <v>424</v>
      </c>
      <c r="M124" s="3">
        <v>-5.4075463475769796</v>
      </c>
      <c r="N124" s="20" t="s">
        <v>248</v>
      </c>
      <c r="O124" s="3">
        <v>0</v>
      </c>
      <c r="P124" s="3">
        <v>0</v>
      </c>
      <c r="Q124" s="3">
        <v>0</v>
      </c>
      <c r="R124" s="3">
        <v>226</v>
      </c>
      <c r="S124" s="3">
        <v>0</v>
      </c>
      <c r="T124" s="3">
        <v>97</v>
      </c>
      <c r="U124" s="3">
        <v>0</v>
      </c>
      <c r="V124" s="3">
        <v>0</v>
      </c>
      <c r="W124" s="3">
        <v>0</v>
      </c>
      <c r="X124" s="3">
        <v>0</v>
      </c>
      <c r="Y124" s="3">
        <v>106</v>
      </c>
      <c r="Z124" s="3">
        <v>0</v>
      </c>
      <c r="AA124" s="3">
        <v>0.226107226107226</v>
      </c>
      <c r="AB124" s="3">
        <v>0</v>
      </c>
      <c r="AC124" s="3">
        <v>0</v>
      </c>
      <c r="AD124" s="3">
        <v>0.52680652680652695</v>
      </c>
      <c r="AE124" s="3">
        <v>0</v>
      </c>
      <c r="AF124" s="3">
        <v>0</v>
      </c>
      <c r="AG124" s="3">
        <v>0</v>
      </c>
      <c r="AH124" s="3">
        <v>0.24708624708624699</v>
      </c>
      <c r="AI124" s="3">
        <v>0</v>
      </c>
      <c r="AJ124" s="3">
        <v>0.65034965034964998</v>
      </c>
      <c r="AK124" s="3">
        <v>0</v>
      </c>
      <c r="AL124" s="3">
        <v>0</v>
      </c>
      <c r="AM124" s="3">
        <v>0.34965034965035002</v>
      </c>
      <c r="AN124" s="3">
        <v>2.9742268041237101</v>
      </c>
      <c r="AO124" s="3">
        <v>3.8311320754717002</v>
      </c>
      <c r="AP124" s="3">
        <v>2.6787330316742102</v>
      </c>
      <c r="AQ124" s="3"/>
      <c r="AR124" s="3"/>
      <c r="AS124" s="3"/>
      <c r="AT124" s="3"/>
      <c r="AU124" s="3"/>
      <c r="AV124" s="3"/>
      <c r="AW124" s="6"/>
      <c r="AX124" s="6"/>
    </row>
    <row r="125" spans="1:50" hidden="1" x14ac:dyDescent="0.2">
      <c r="A125" s="3" t="s">
        <v>249</v>
      </c>
      <c r="B125" s="3" t="s">
        <v>100</v>
      </c>
      <c r="C125" s="3">
        <v>89380677</v>
      </c>
      <c r="D125" s="3" t="s">
        <v>67</v>
      </c>
      <c r="E125" s="3" t="s">
        <v>53</v>
      </c>
      <c r="F125" s="3" t="s">
        <v>46</v>
      </c>
      <c r="G125" s="3" t="s">
        <v>46</v>
      </c>
      <c r="H125" s="3" t="s">
        <v>86</v>
      </c>
      <c r="I125" s="3" t="s">
        <v>181</v>
      </c>
      <c r="J125" s="20" t="s">
        <v>250</v>
      </c>
      <c r="K125" s="3">
        <v>2.47641509433962E-2</v>
      </c>
      <c r="L125" s="3">
        <v>424</v>
      </c>
      <c r="M125" s="3">
        <v>-2.9328607823425998</v>
      </c>
      <c r="N125" s="3">
        <v>5.0492037086263802E-3</v>
      </c>
      <c r="O125" s="3">
        <v>0</v>
      </c>
      <c r="P125" s="3">
        <v>5</v>
      </c>
      <c r="Q125" s="3">
        <v>27</v>
      </c>
      <c r="R125" s="3">
        <v>397</v>
      </c>
      <c r="S125" s="3">
        <v>0</v>
      </c>
      <c r="T125" s="3">
        <v>0</v>
      </c>
      <c r="U125" s="3">
        <v>0</v>
      </c>
      <c r="V125" s="3">
        <v>0</v>
      </c>
      <c r="W125" s="3">
        <v>0</v>
      </c>
      <c r="X125" s="3">
        <v>0</v>
      </c>
      <c r="Y125" s="3">
        <v>0</v>
      </c>
      <c r="Z125" s="3">
        <v>0</v>
      </c>
      <c r="AA125" s="3">
        <v>0</v>
      </c>
      <c r="AB125" s="3">
        <v>0</v>
      </c>
      <c r="AC125" s="3">
        <v>0</v>
      </c>
      <c r="AD125" s="3">
        <v>0.92540792540792505</v>
      </c>
      <c r="AE125" s="3">
        <v>6.2937062937062901E-2</v>
      </c>
      <c r="AF125" s="3">
        <v>1.1655011655011699E-2</v>
      </c>
      <c r="AG125" s="3">
        <v>0</v>
      </c>
      <c r="AH125" s="3">
        <v>0</v>
      </c>
      <c r="AI125" s="3">
        <v>0</v>
      </c>
      <c r="AJ125" s="3">
        <v>0.95687645687645695</v>
      </c>
      <c r="AK125" s="3">
        <v>0</v>
      </c>
      <c r="AL125" s="3">
        <v>4.31235431235431E-2</v>
      </c>
      <c r="AM125" s="3">
        <v>0</v>
      </c>
      <c r="AN125" s="3">
        <v>1.84</v>
      </c>
      <c r="AO125" s="3">
        <v>2.3222222222222202</v>
      </c>
      <c r="AP125" s="3">
        <v>3.0987244897959201</v>
      </c>
      <c r="AQ125" s="3"/>
      <c r="AR125" s="3"/>
      <c r="AS125" s="3"/>
      <c r="AT125" s="3"/>
      <c r="AU125" s="3"/>
      <c r="AV125" s="3"/>
      <c r="AW125" s="6"/>
      <c r="AX125" s="6"/>
    </row>
    <row r="126" spans="1:50" hidden="1" x14ac:dyDescent="0.2">
      <c r="A126" s="3" t="s">
        <v>251</v>
      </c>
      <c r="B126" s="3" t="s">
        <v>198</v>
      </c>
      <c r="C126" s="3">
        <v>543093563</v>
      </c>
      <c r="D126" s="3" t="s">
        <v>71</v>
      </c>
      <c r="E126" s="3" t="s">
        <v>45</v>
      </c>
      <c r="F126" s="3" t="s">
        <v>59</v>
      </c>
      <c r="G126" s="3" t="s">
        <v>59</v>
      </c>
      <c r="H126" s="3" t="s">
        <v>86</v>
      </c>
      <c r="I126" s="3" t="s">
        <v>181</v>
      </c>
      <c r="J126" s="20" t="s">
        <v>252</v>
      </c>
      <c r="K126" s="3">
        <v>3.53773584905659E-3</v>
      </c>
      <c r="L126" s="3">
        <v>424</v>
      </c>
      <c r="M126" s="3">
        <v>-10.8937810925823</v>
      </c>
      <c r="N126" s="20" t="s">
        <v>253</v>
      </c>
      <c r="O126" s="3">
        <v>0</v>
      </c>
      <c r="P126" s="3">
        <v>0</v>
      </c>
      <c r="Q126" s="3">
        <v>0</v>
      </c>
      <c r="R126" s="3">
        <v>0</v>
      </c>
      <c r="S126" s="3">
        <v>0</v>
      </c>
      <c r="T126" s="3">
        <v>362</v>
      </c>
      <c r="U126" s="3">
        <v>7</v>
      </c>
      <c r="V126" s="3">
        <v>0</v>
      </c>
      <c r="W126" s="3">
        <v>60</v>
      </c>
      <c r="X126" s="3">
        <v>0</v>
      </c>
      <c r="Y126" s="3">
        <v>0</v>
      </c>
      <c r="Z126" s="3">
        <v>0.13986013986014001</v>
      </c>
      <c r="AA126" s="3">
        <v>0.843822843822844</v>
      </c>
      <c r="AB126" s="3">
        <v>1.6317016317016299E-2</v>
      </c>
      <c r="AC126" s="3">
        <v>0</v>
      </c>
      <c r="AD126" s="3">
        <v>0</v>
      </c>
      <c r="AE126" s="3">
        <v>0</v>
      </c>
      <c r="AF126" s="3">
        <v>0</v>
      </c>
      <c r="AG126" s="3">
        <v>0</v>
      </c>
      <c r="AH126" s="3">
        <v>0</v>
      </c>
      <c r="AI126" s="3">
        <v>0</v>
      </c>
      <c r="AJ126" s="3">
        <v>0</v>
      </c>
      <c r="AK126" s="3">
        <v>8.6247086247086296E-2</v>
      </c>
      <c r="AL126" s="3">
        <v>0</v>
      </c>
      <c r="AM126" s="3">
        <v>0.91375291375291401</v>
      </c>
      <c r="AN126" s="3">
        <v>3.71428571428571</v>
      </c>
      <c r="AO126" s="3">
        <v>2.5</v>
      </c>
      <c r="AP126" s="3">
        <v>3.1092178770949701</v>
      </c>
      <c r="AQ126" s="3" t="s">
        <v>642</v>
      </c>
      <c r="AR126" s="3" t="s">
        <v>643</v>
      </c>
      <c r="AS126" s="3" t="s">
        <v>913</v>
      </c>
      <c r="AT126" s="3"/>
      <c r="AU126" s="3"/>
      <c r="AV126" s="3"/>
      <c r="AW126" s="6"/>
      <c r="AX126" s="6"/>
    </row>
    <row r="127" spans="1:50" hidden="1" x14ac:dyDescent="0.2">
      <c r="A127" s="3" t="s">
        <v>298</v>
      </c>
      <c r="B127" s="3" t="s">
        <v>57</v>
      </c>
      <c r="C127" s="3">
        <v>23619855</v>
      </c>
      <c r="D127" s="3" t="s">
        <v>156</v>
      </c>
      <c r="E127" s="3" t="s">
        <v>59</v>
      </c>
      <c r="F127" s="3" t="s">
        <v>53</v>
      </c>
      <c r="G127" s="3" t="s">
        <v>53</v>
      </c>
      <c r="H127" s="3" t="s">
        <v>86</v>
      </c>
      <c r="I127" s="3" t="s">
        <v>259</v>
      </c>
      <c r="J127" s="20" t="s">
        <v>299</v>
      </c>
      <c r="K127" s="3">
        <v>1.6666666666667E-3</v>
      </c>
      <c r="L127" s="3">
        <v>300</v>
      </c>
      <c r="M127" s="3">
        <v>-2.2873355150074701</v>
      </c>
      <c r="N127" s="20" t="s">
        <v>300</v>
      </c>
      <c r="O127" s="3">
        <v>0</v>
      </c>
      <c r="P127" s="3">
        <v>0</v>
      </c>
      <c r="Q127" s="3">
        <v>0</v>
      </c>
      <c r="R127" s="3">
        <v>34</v>
      </c>
      <c r="S127" s="3">
        <v>0</v>
      </c>
      <c r="T127" s="3">
        <v>0</v>
      </c>
      <c r="U127" s="3">
        <v>173</v>
      </c>
      <c r="V127" s="3">
        <v>0</v>
      </c>
      <c r="W127" s="3">
        <v>0</v>
      </c>
      <c r="X127" s="3">
        <v>222</v>
      </c>
      <c r="Y127" s="3">
        <v>0</v>
      </c>
      <c r="Z127" s="3">
        <v>0</v>
      </c>
      <c r="AA127" s="3">
        <v>0</v>
      </c>
      <c r="AB127" s="3">
        <v>0.40326340326340299</v>
      </c>
      <c r="AC127" s="3">
        <v>0.51748251748251795</v>
      </c>
      <c r="AD127" s="3">
        <v>7.9254079254079193E-2</v>
      </c>
      <c r="AE127" s="3">
        <v>0</v>
      </c>
      <c r="AF127" s="3">
        <v>0</v>
      </c>
      <c r="AG127" s="3">
        <v>0</v>
      </c>
      <c r="AH127" s="3">
        <v>0</v>
      </c>
      <c r="AI127" s="3">
        <v>0</v>
      </c>
      <c r="AJ127" s="3">
        <v>0.33799533799533799</v>
      </c>
      <c r="AK127" s="3">
        <v>0.66200466200466201</v>
      </c>
      <c r="AL127" s="3">
        <v>0</v>
      </c>
      <c r="AM127" s="3">
        <v>0</v>
      </c>
      <c r="AN127" s="3">
        <v>0.2</v>
      </c>
      <c r="AO127" s="3">
        <v>0.26078431372548999</v>
      </c>
      <c r="AP127" s="3">
        <v>0.25655737704918002</v>
      </c>
      <c r="AQ127" s="3"/>
      <c r="AR127" s="3"/>
      <c r="AS127" s="3"/>
      <c r="AT127" s="3"/>
      <c r="AU127" s="3"/>
      <c r="AV127" s="3"/>
      <c r="AW127" s="6"/>
      <c r="AX127" s="6"/>
    </row>
    <row r="128" spans="1:50" hidden="1" x14ac:dyDescent="0.2">
      <c r="A128" s="3" t="s">
        <v>301</v>
      </c>
      <c r="B128" s="3" t="s">
        <v>152</v>
      </c>
      <c r="C128" s="3">
        <v>537457347</v>
      </c>
      <c r="D128" s="3" t="s">
        <v>260</v>
      </c>
      <c r="E128" s="3" t="s">
        <v>53</v>
      </c>
      <c r="F128" s="3" t="s">
        <v>59</v>
      </c>
      <c r="G128" s="3" t="s">
        <v>59</v>
      </c>
      <c r="H128" s="3" t="s">
        <v>86</v>
      </c>
      <c r="I128" s="3" t="s">
        <v>259</v>
      </c>
      <c r="J128" s="20" t="s">
        <v>302</v>
      </c>
      <c r="K128" s="3">
        <v>5.0000000000000001E-3</v>
      </c>
      <c r="L128" s="3">
        <v>300</v>
      </c>
      <c r="M128" s="3">
        <v>-1.18532146146503</v>
      </c>
      <c r="N128" s="20" t="s">
        <v>303</v>
      </c>
      <c r="O128" s="3">
        <v>0</v>
      </c>
      <c r="P128" s="3">
        <v>0</v>
      </c>
      <c r="Q128" s="3">
        <v>0</v>
      </c>
      <c r="R128" s="3">
        <v>354</v>
      </c>
      <c r="S128" s="3">
        <v>0</v>
      </c>
      <c r="T128" s="3">
        <v>0</v>
      </c>
      <c r="U128" s="3">
        <v>8</v>
      </c>
      <c r="V128" s="3">
        <v>0</v>
      </c>
      <c r="W128" s="3">
        <v>0</v>
      </c>
      <c r="X128" s="3">
        <v>67</v>
      </c>
      <c r="Y128" s="3">
        <v>0</v>
      </c>
      <c r="Z128" s="3">
        <v>0</v>
      </c>
      <c r="AA128" s="3">
        <v>0</v>
      </c>
      <c r="AB128" s="3">
        <v>1.8648018648018599E-2</v>
      </c>
      <c r="AC128" s="3">
        <v>0.156177156177156</v>
      </c>
      <c r="AD128" s="3">
        <v>0.82517482517482499</v>
      </c>
      <c r="AE128" s="3">
        <v>0</v>
      </c>
      <c r="AF128" s="3">
        <v>0</v>
      </c>
      <c r="AG128" s="3">
        <v>0</v>
      </c>
      <c r="AH128" s="3">
        <v>0</v>
      </c>
      <c r="AI128" s="3">
        <v>0</v>
      </c>
      <c r="AJ128" s="3">
        <v>0.90326340326340304</v>
      </c>
      <c r="AK128" s="3">
        <v>9.6736596736596694E-2</v>
      </c>
      <c r="AL128" s="3">
        <v>0</v>
      </c>
      <c r="AM128" s="3">
        <v>0</v>
      </c>
      <c r="AN128" s="3">
        <v>3.3333333333333298E-2</v>
      </c>
      <c r="AO128" s="3">
        <v>0.246153846153846</v>
      </c>
      <c r="AP128" s="3">
        <v>0.25775193798449603</v>
      </c>
      <c r="AQ128" s="3"/>
      <c r="AR128" s="3"/>
      <c r="AS128" s="3"/>
      <c r="AT128" s="3"/>
      <c r="AU128" s="3"/>
      <c r="AV128" s="3"/>
      <c r="AW128" s="6"/>
      <c r="AX128" s="6"/>
    </row>
    <row r="129" spans="1:50" hidden="1" x14ac:dyDescent="0.2">
      <c r="A129" s="3" t="s">
        <v>306</v>
      </c>
      <c r="B129" s="3" t="s">
        <v>97</v>
      </c>
      <c r="C129" s="3">
        <v>105621999</v>
      </c>
      <c r="D129" s="3" t="s">
        <v>109</v>
      </c>
      <c r="E129" s="3" t="s">
        <v>45</v>
      </c>
      <c r="F129" s="3" t="s">
        <v>59</v>
      </c>
      <c r="G129" s="3" t="s">
        <v>59</v>
      </c>
      <c r="H129" s="3" t="s">
        <v>86</v>
      </c>
      <c r="I129" s="3" t="s">
        <v>259</v>
      </c>
      <c r="J129" s="20" t="s">
        <v>307</v>
      </c>
      <c r="K129" s="3">
        <v>5.0000000000000001E-3</v>
      </c>
      <c r="L129" s="3">
        <v>300</v>
      </c>
      <c r="M129" s="3">
        <v>3.4418539769437499</v>
      </c>
      <c r="N129" s="20" t="s">
        <v>308</v>
      </c>
      <c r="O129" s="3">
        <v>0</v>
      </c>
      <c r="P129" s="3">
        <v>0</v>
      </c>
      <c r="Q129" s="3">
        <v>0</v>
      </c>
      <c r="R129" s="3">
        <v>0</v>
      </c>
      <c r="S129" s="3">
        <v>0</v>
      </c>
      <c r="T129" s="3">
        <v>154</v>
      </c>
      <c r="U129" s="3">
        <v>106</v>
      </c>
      <c r="V129" s="3">
        <v>0</v>
      </c>
      <c r="W129" s="3">
        <v>169</v>
      </c>
      <c r="X129" s="3">
        <v>0</v>
      </c>
      <c r="Y129" s="3">
        <v>0</v>
      </c>
      <c r="Z129" s="3">
        <v>0.39393939393939398</v>
      </c>
      <c r="AA129" s="3">
        <v>0.35897435897435898</v>
      </c>
      <c r="AB129" s="3">
        <v>0.24708624708624699</v>
      </c>
      <c r="AC129" s="3">
        <v>0</v>
      </c>
      <c r="AD129" s="3">
        <v>0</v>
      </c>
      <c r="AE129" s="3">
        <v>0</v>
      </c>
      <c r="AF129" s="3">
        <v>0</v>
      </c>
      <c r="AG129" s="3">
        <v>0</v>
      </c>
      <c r="AH129" s="3">
        <v>0</v>
      </c>
      <c r="AI129" s="3">
        <v>0</v>
      </c>
      <c r="AJ129" s="3">
        <v>0</v>
      </c>
      <c r="AK129" s="3">
        <v>0.44405594405594401</v>
      </c>
      <c r="AL129" s="3">
        <v>0</v>
      </c>
      <c r="AM129" s="3">
        <v>0.55594405594405605</v>
      </c>
      <c r="AN129" s="3">
        <v>0.29734513274336299</v>
      </c>
      <c r="AO129" s="3">
        <v>0.254782608695652</v>
      </c>
      <c r="AP129" s="3">
        <v>0.18472222222222201</v>
      </c>
      <c r="AQ129" s="3"/>
      <c r="AR129" s="3"/>
      <c r="AS129" s="3"/>
      <c r="AT129" s="3"/>
      <c r="AU129" s="3"/>
      <c r="AV129" s="3"/>
      <c r="AW129" s="6"/>
      <c r="AX129" s="6"/>
    </row>
    <row r="130" spans="1:50" hidden="1" x14ac:dyDescent="0.2">
      <c r="A130" s="3" t="s">
        <v>309</v>
      </c>
      <c r="B130" s="3" t="s">
        <v>100</v>
      </c>
      <c r="C130" s="3">
        <v>151631442</v>
      </c>
      <c r="D130" s="3" t="s">
        <v>109</v>
      </c>
      <c r="E130" s="3" t="s">
        <v>45</v>
      </c>
      <c r="F130" s="3" t="s">
        <v>59</v>
      </c>
      <c r="G130" s="3" t="s">
        <v>45</v>
      </c>
      <c r="H130" s="3" t="s">
        <v>86</v>
      </c>
      <c r="I130" s="3" t="s">
        <v>259</v>
      </c>
      <c r="J130" s="20" t="s">
        <v>310</v>
      </c>
      <c r="K130" s="3">
        <v>1.6666666666667E-3</v>
      </c>
      <c r="L130" s="3">
        <v>300</v>
      </c>
      <c r="M130" s="3">
        <v>-3.30052391719614</v>
      </c>
      <c r="N130" s="20" t="s">
        <v>311</v>
      </c>
      <c r="O130" s="3">
        <v>0</v>
      </c>
      <c r="P130" s="3">
        <v>0</v>
      </c>
      <c r="Q130" s="3">
        <v>0</v>
      </c>
      <c r="R130" s="3">
        <v>0</v>
      </c>
      <c r="S130" s="3">
        <v>0</v>
      </c>
      <c r="T130" s="3">
        <v>51</v>
      </c>
      <c r="U130" s="3">
        <v>240</v>
      </c>
      <c r="V130" s="3">
        <v>0</v>
      </c>
      <c r="W130" s="3">
        <v>138</v>
      </c>
      <c r="X130" s="3">
        <v>0</v>
      </c>
      <c r="Y130" s="3">
        <v>0</v>
      </c>
      <c r="Z130" s="3">
        <v>0.321678321678322</v>
      </c>
      <c r="AA130" s="3">
        <v>0.11888111888111901</v>
      </c>
      <c r="AB130" s="3">
        <v>0.55944055944056004</v>
      </c>
      <c r="AC130" s="3">
        <v>0</v>
      </c>
      <c r="AD130" s="3">
        <v>0</v>
      </c>
      <c r="AE130" s="3">
        <v>0</v>
      </c>
      <c r="AF130" s="3">
        <v>0</v>
      </c>
      <c r="AG130" s="3">
        <v>0</v>
      </c>
      <c r="AH130" s="3">
        <v>0</v>
      </c>
      <c r="AI130" s="3">
        <v>0</v>
      </c>
      <c r="AJ130" s="3">
        <v>0</v>
      </c>
      <c r="AK130" s="3">
        <v>0.72027972027971998</v>
      </c>
      <c r="AL130" s="3">
        <v>0</v>
      </c>
      <c r="AM130" s="3">
        <v>0.27972027972028002</v>
      </c>
      <c r="AN130" s="3">
        <v>0.22368421052631601</v>
      </c>
      <c r="AO130" s="3">
        <v>0.241237113402062</v>
      </c>
      <c r="AP130" s="3">
        <v>0.26848484848484799</v>
      </c>
      <c r="AQ130" s="3"/>
      <c r="AR130" s="3"/>
      <c r="AS130" s="3"/>
      <c r="AT130" s="3"/>
      <c r="AU130" s="3"/>
      <c r="AV130" s="3"/>
      <c r="AW130" s="6"/>
      <c r="AX130" s="6"/>
    </row>
    <row r="131" spans="1:50" hidden="1" x14ac:dyDescent="0.2">
      <c r="A131" s="3" t="s">
        <v>312</v>
      </c>
      <c r="B131" s="3" t="s">
        <v>105</v>
      </c>
      <c r="C131" s="3">
        <v>329485557</v>
      </c>
      <c r="D131" s="3" t="s">
        <v>44</v>
      </c>
      <c r="E131" s="3" t="s">
        <v>45</v>
      </c>
      <c r="F131" s="3" t="s">
        <v>46</v>
      </c>
      <c r="G131" s="3" t="s">
        <v>46</v>
      </c>
      <c r="H131" s="3" t="s">
        <v>86</v>
      </c>
      <c r="I131" s="3" t="s">
        <v>259</v>
      </c>
      <c r="J131" s="20" t="s">
        <v>313</v>
      </c>
      <c r="K131" s="3">
        <v>0.13666666666666699</v>
      </c>
      <c r="L131" s="3">
        <v>300</v>
      </c>
      <c r="M131" s="3">
        <v>-0.174552535398911</v>
      </c>
      <c r="N131" s="3">
        <v>2.0320924937227401E-4</v>
      </c>
      <c r="O131" s="3">
        <v>0</v>
      </c>
      <c r="P131" s="3">
        <v>14</v>
      </c>
      <c r="Q131" s="3">
        <v>0</v>
      </c>
      <c r="R131" s="3">
        <v>0</v>
      </c>
      <c r="S131" s="3">
        <v>64</v>
      </c>
      <c r="T131" s="3">
        <v>351</v>
      </c>
      <c r="U131" s="3">
        <v>0</v>
      </c>
      <c r="V131" s="3">
        <v>0</v>
      </c>
      <c r="W131" s="3">
        <v>0</v>
      </c>
      <c r="X131" s="3">
        <v>0</v>
      </c>
      <c r="Y131" s="3">
        <v>0</v>
      </c>
      <c r="Z131" s="3">
        <v>0</v>
      </c>
      <c r="AA131" s="3">
        <v>0.81818181818181801</v>
      </c>
      <c r="AB131" s="3">
        <v>0</v>
      </c>
      <c r="AC131" s="3">
        <v>0</v>
      </c>
      <c r="AD131" s="3">
        <v>0</v>
      </c>
      <c r="AE131" s="3">
        <v>0</v>
      </c>
      <c r="AF131" s="3">
        <v>3.2634032634032598E-2</v>
      </c>
      <c r="AG131" s="3">
        <v>0.14918414918414899</v>
      </c>
      <c r="AH131" s="3">
        <v>0</v>
      </c>
      <c r="AI131" s="3">
        <v>0</v>
      </c>
      <c r="AJ131" s="3">
        <v>0</v>
      </c>
      <c r="AK131" s="3">
        <v>0</v>
      </c>
      <c r="AL131" s="3">
        <v>0.107226107226107</v>
      </c>
      <c r="AM131" s="3">
        <v>0.89277389277389296</v>
      </c>
      <c r="AN131" s="3">
        <v>0.1875</v>
      </c>
      <c r="AO131" s="3">
        <v>0.180952380952381</v>
      </c>
      <c r="AP131" s="3">
        <v>0.26840000000000003</v>
      </c>
      <c r="AQ131" s="3"/>
      <c r="AR131" s="3"/>
      <c r="AS131" s="3"/>
      <c r="AT131" s="3"/>
      <c r="AU131" s="3"/>
      <c r="AV131" s="3"/>
      <c r="AW131" s="6"/>
      <c r="AX131" s="6"/>
    </row>
    <row r="132" spans="1:50" ht="56" hidden="1" x14ac:dyDescent="0.2">
      <c r="A132" s="3" t="s">
        <v>104</v>
      </c>
      <c r="B132" s="3" t="s">
        <v>105</v>
      </c>
      <c r="C132" s="3">
        <v>83112789</v>
      </c>
      <c r="D132" s="3" t="s">
        <v>71</v>
      </c>
      <c r="E132" s="3" t="s">
        <v>45</v>
      </c>
      <c r="F132" s="3" t="s">
        <v>59</v>
      </c>
      <c r="G132" s="3" t="s">
        <v>59</v>
      </c>
      <c r="H132" s="3" t="s">
        <v>86</v>
      </c>
      <c r="I132" s="3" t="s">
        <v>259</v>
      </c>
      <c r="J132" s="20" t="s">
        <v>314</v>
      </c>
      <c r="K132" s="3">
        <v>1.6666666666667E-3</v>
      </c>
      <c r="L132" s="3">
        <v>300</v>
      </c>
      <c r="M132" s="3">
        <v>-3.7863611905836501</v>
      </c>
      <c r="N132" s="20" t="s">
        <v>315</v>
      </c>
      <c r="O132" s="3">
        <v>0</v>
      </c>
      <c r="P132" s="3">
        <v>0</v>
      </c>
      <c r="Q132" s="3">
        <v>0</v>
      </c>
      <c r="R132" s="3">
        <v>0</v>
      </c>
      <c r="S132" s="3">
        <v>0</v>
      </c>
      <c r="T132" s="3">
        <v>410</v>
      </c>
      <c r="U132" s="3">
        <v>0</v>
      </c>
      <c r="V132" s="3">
        <v>0</v>
      </c>
      <c r="W132" s="3">
        <v>19</v>
      </c>
      <c r="X132" s="3">
        <v>0</v>
      </c>
      <c r="Y132" s="3">
        <v>0</v>
      </c>
      <c r="Z132" s="3">
        <v>4.4289044289044302E-2</v>
      </c>
      <c r="AA132" s="3">
        <v>0.95571095571095599</v>
      </c>
      <c r="AB132" s="3">
        <v>0</v>
      </c>
      <c r="AC132" s="3">
        <v>0</v>
      </c>
      <c r="AD132" s="3">
        <v>0</v>
      </c>
      <c r="AE132" s="3">
        <v>0</v>
      </c>
      <c r="AF132" s="3">
        <v>0</v>
      </c>
      <c r="AG132" s="3">
        <v>0</v>
      </c>
      <c r="AH132" s="3">
        <v>0</v>
      </c>
      <c r="AI132" s="3">
        <v>0</v>
      </c>
      <c r="AJ132" s="3">
        <v>0</v>
      </c>
      <c r="AK132" s="3">
        <v>2.2144522144522099E-2</v>
      </c>
      <c r="AL132" s="3">
        <v>0</v>
      </c>
      <c r="AM132" s="3">
        <v>0.97785547785547799</v>
      </c>
      <c r="AN132" s="3" t="s">
        <v>55</v>
      </c>
      <c r="AO132" s="3">
        <v>0.04</v>
      </c>
      <c r="AP132" s="3">
        <v>0.26526315789473698</v>
      </c>
      <c r="AQ132" s="3" t="s">
        <v>659</v>
      </c>
      <c r="AR132" s="3" t="s">
        <v>660</v>
      </c>
      <c r="AS132" s="3" t="s">
        <v>913</v>
      </c>
      <c r="AT132" s="3"/>
      <c r="AU132" s="3"/>
      <c r="AV132" s="3"/>
      <c r="AW132" s="8" t="s">
        <v>661</v>
      </c>
      <c r="AX132" s="6" t="s">
        <v>662</v>
      </c>
    </row>
    <row r="133" spans="1:50" hidden="1" x14ac:dyDescent="0.2">
      <c r="A133" s="3" t="s">
        <v>316</v>
      </c>
      <c r="B133" s="3" t="s">
        <v>113</v>
      </c>
      <c r="C133" s="3">
        <v>202019831</v>
      </c>
      <c r="D133" s="3" t="s">
        <v>67</v>
      </c>
      <c r="E133" s="3" t="s">
        <v>46</v>
      </c>
      <c r="F133" s="3" t="s">
        <v>53</v>
      </c>
      <c r="G133" s="3" t="s">
        <v>46</v>
      </c>
      <c r="H133" s="3" t="s">
        <v>86</v>
      </c>
      <c r="I133" s="3" t="s">
        <v>259</v>
      </c>
      <c r="J133" s="20" t="s">
        <v>317</v>
      </c>
      <c r="K133" s="3">
        <v>1.6666666666667E-3</v>
      </c>
      <c r="L133" s="3">
        <v>300</v>
      </c>
      <c r="M133" s="3">
        <v>-4.15834118533793</v>
      </c>
      <c r="N133" s="20" t="s">
        <v>318</v>
      </c>
      <c r="O133" s="3">
        <v>0</v>
      </c>
      <c r="P133" s="3">
        <v>17</v>
      </c>
      <c r="Q133" s="3">
        <v>98</v>
      </c>
      <c r="R133" s="3">
        <v>314</v>
      </c>
      <c r="S133" s="3">
        <v>0</v>
      </c>
      <c r="T133" s="3">
        <v>0</v>
      </c>
      <c r="U133" s="3">
        <v>0</v>
      </c>
      <c r="V133" s="3">
        <v>0</v>
      </c>
      <c r="W133" s="3">
        <v>0</v>
      </c>
      <c r="X133" s="3">
        <v>0</v>
      </c>
      <c r="Y133" s="3">
        <v>0</v>
      </c>
      <c r="Z133" s="3">
        <v>0</v>
      </c>
      <c r="AA133" s="3">
        <v>0</v>
      </c>
      <c r="AB133" s="3">
        <v>0</v>
      </c>
      <c r="AC133" s="3">
        <v>0</v>
      </c>
      <c r="AD133" s="3">
        <v>0.73193473193473202</v>
      </c>
      <c r="AE133" s="3">
        <v>0.228438228438228</v>
      </c>
      <c r="AF133" s="3">
        <v>3.9627039627039597E-2</v>
      </c>
      <c r="AG133" s="3">
        <v>0</v>
      </c>
      <c r="AH133" s="3">
        <v>0</v>
      </c>
      <c r="AI133" s="3">
        <v>0</v>
      </c>
      <c r="AJ133" s="3">
        <v>0.84615384615384603</v>
      </c>
      <c r="AK133" s="3">
        <v>0</v>
      </c>
      <c r="AL133" s="3">
        <v>0.15384615384615399</v>
      </c>
      <c r="AM133" s="3">
        <v>0</v>
      </c>
      <c r="AN133" s="3">
        <v>0.77500000000000002</v>
      </c>
      <c r="AO133" s="3">
        <v>0.35555555555555601</v>
      </c>
      <c r="AP133" s="3">
        <v>0.197777777777778</v>
      </c>
      <c r="AQ133" s="3"/>
      <c r="AR133" s="3"/>
      <c r="AS133" s="3"/>
      <c r="AT133" s="3"/>
      <c r="AU133" s="3"/>
      <c r="AV133" s="3"/>
      <c r="AW133" s="6"/>
      <c r="AX133" s="6"/>
    </row>
    <row r="134" spans="1:50" hidden="1" x14ac:dyDescent="0.2">
      <c r="A134" s="3" t="s">
        <v>354</v>
      </c>
      <c r="B134" s="3" t="s">
        <v>123</v>
      </c>
      <c r="C134" s="3">
        <v>190433484</v>
      </c>
      <c r="D134" s="3" t="s">
        <v>67</v>
      </c>
      <c r="E134" s="3" t="s">
        <v>53</v>
      </c>
      <c r="F134" s="3" t="s">
        <v>46</v>
      </c>
      <c r="G134" s="3" t="s">
        <v>46</v>
      </c>
      <c r="H134" s="3" t="s">
        <v>86</v>
      </c>
      <c r="I134" s="3" t="s">
        <v>338</v>
      </c>
      <c r="J134" s="20" t="s">
        <v>355</v>
      </c>
      <c r="K134" s="3">
        <v>1.6025641025640999E-3</v>
      </c>
      <c r="L134" s="3">
        <v>312</v>
      </c>
      <c r="M134" s="3">
        <v>-95.280521982153005</v>
      </c>
      <c r="N134" s="3">
        <v>1.70466628440929E-3</v>
      </c>
      <c r="O134" s="3">
        <v>0</v>
      </c>
      <c r="P134" s="3">
        <v>20</v>
      </c>
      <c r="Q134" s="3">
        <v>111</v>
      </c>
      <c r="R134" s="3">
        <v>233</v>
      </c>
      <c r="S134" s="3">
        <v>0</v>
      </c>
      <c r="T134" s="3">
        <v>0</v>
      </c>
      <c r="U134" s="3">
        <v>0</v>
      </c>
      <c r="V134" s="3">
        <v>0</v>
      </c>
      <c r="W134" s="3">
        <v>0</v>
      </c>
      <c r="X134" s="3">
        <v>0</v>
      </c>
      <c r="Y134" s="3">
        <v>0</v>
      </c>
      <c r="Z134" s="3">
        <v>0</v>
      </c>
      <c r="AA134" s="3">
        <v>0</v>
      </c>
      <c r="AB134" s="3">
        <v>0</v>
      </c>
      <c r="AC134" s="3">
        <v>0</v>
      </c>
      <c r="AD134" s="3">
        <v>0.64010989010988995</v>
      </c>
      <c r="AE134" s="3">
        <v>0.30494505494505503</v>
      </c>
      <c r="AF134" s="3">
        <v>5.4945054945054903E-2</v>
      </c>
      <c r="AG134" s="3">
        <v>0</v>
      </c>
      <c r="AH134" s="3">
        <v>0</v>
      </c>
      <c r="AI134" s="3">
        <v>0</v>
      </c>
      <c r="AJ134" s="3">
        <v>0.79258241758241799</v>
      </c>
      <c r="AK134" s="3">
        <v>0</v>
      </c>
      <c r="AL134" s="3">
        <v>0.20741758241758201</v>
      </c>
      <c r="AM134" s="3">
        <v>0</v>
      </c>
      <c r="AN134" s="3">
        <v>15.858823529411801</v>
      </c>
      <c r="AO134" s="3">
        <v>20.526666666666699</v>
      </c>
      <c r="AP134" s="3">
        <v>19.201463414634102</v>
      </c>
      <c r="AQ134" s="3" t="s">
        <v>914</v>
      </c>
      <c r="AR134" s="3"/>
      <c r="AS134" s="3" t="s">
        <v>635</v>
      </c>
      <c r="AT134" s="3" t="s">
        <v>636</v>
      </c>
      <c r="AU134" s="4">
        <v>0.89</v>
      </c>
      <c r="AV134" s="5">
        <v>0.93920000000000003</v>
      </c>
      <c r="AW134" s="6"/>
      <c r="AX134" s="6"/>
    </row>
    <row r="135" spans="1:50" hidden="1" x14ac:dyDescent="0.2">
      <c r="A135" s="3" t="s">
        <v>368</v>
      </c>
      <c r="B135" s="3" t="s">
        <v>90</v>
      </c>
      <c r="C135" s="3">
        <v>537945840</v>
      </c>
      <c r="D135" s="3" t="s">
        <v>71</v>
      </c>
      <c r="E135" s="3" t="s">
        <v>45</v>
      </c>
      <c r="F135" s="3" t="s">
        <v>59</v>
      </c>
      <c r="G135" s="3" t="s">
        <v>59</v>
      </c>
      <c r="H135" s="3" t="s">
        <v>86</v>
      </c>
      <c r="I135" s="3" t="s">
        <v>369</v>
      </c>
      <c r="J135" s="20" t="s">
        <v>370</v>
      </c>
      <c r="K135" s="3">
        <v>0.121428571428571</v>
      </c>
      <c r="L135" s="3">
        <v>280</v>
      </c>
      <c r="M135" s="3">
        <v>-2.9718656467656399</v>
      </c>
      <c r="N135" s="3">
        <v>7.4284726091550495E-4</v>
      </c>
      <c r="O135" s="3">
        <v>0</v>
      </c>
      <c r="P135" s="3">
        <v>0</v>
      </c>
      <c r="Q135" s="3">
        <v>0</v>
      </c>
      <c r="R135" s="3">
        <v>0</v>
      </c>
      <c r="S135" s="3">
        <v>0</v>
      </c>
      <c r="T135" s="3">
        <v>317</v>
      </c>
      <c r="U135" s="3">
        <v>1</v>
      </c>
      <c r="V135" s="3">
        <v>0</v>
      </c>
      <c r="W135" s="3">
        <v>46</v>
      </c>
      <c r="X135" s="3">
        <v>0</v>
      </c>
      <c r="Y135" s="3">
        <v>0</v>
      </c>
      <c r="Z135" s="3">
        <v>0.12637362637362601</v>
      </c>
      <c r="AA135" s="3">
        <v>0.870879120879121</v>
      </c>
      <c r="AB135" s="3">
        <v>2.7472527472527501E-3</v>
      </c>
      <c r="AC135" s="3">
        <v>0</v>
      </c>
      <c r="AD135" s="3">
        <v>0</v>
      </c>
      <c r="AE135" s="3">
        <v>0</v>
      </c>
      <c r="AF135" s="3">
        <v>0</v>
      </c>
      <c r="AG135" s="3">
        <v>0</v>
      </c>
      <c r="AH135" s="3">
        <v>0</v>
      </c>
      <c r="AI135" s="3">
        <v>0</v>
      </c>
      <c r="AJ135" s="3">
        <v>0</v>
      </c>
      <c r="AK135" s="3">
        <v>6.5934065934065894E-2</v>
      </c>
      <c r="AL135" s="3">
        <v>0</v>
      </c>
      <c r="AM135" s="3">
        <v>0.93406593406593397</v>
      </c>
      <c r="AN135" s="3" t="s">
        <v>55</v>
      </c>
      <c r="AO135" s="3">
        <v>7.3153846153846196</v>
      </c>
      <c r="AP135" s="3">
        <v>8.1983402489626496</v>
      </c>
      <c r="AQ135" s="3"/>
      <c r="AR135" s="3"/>
      <c r="AS135" s="3"/>
      <c r="AT135" s="3"/>
      <c r="AU135" s="3"/>
      <c r="AV135" s="3"/>
      <c r="AW135" s="6"/>
      <c r="AX135" s="6"/>
    </row>
    <row r="136" spans="1:50" hidden="1" x14ac:dyDescent="0.2">
      <c r="A136" s="3" t="s">
        <v>371</v>
      </c>
      <c r="B136" s="3" t="s">
        <v>160</v>
      </c>
      <c r="C136" s="3">
        <v>333518696</v>
      </c>
      <c r="D136" s="3" t="s">
        <v>58</v>
      </c>
      <c r="E136" s="3" t="s">
        <v>46</v>
      </c>
      <c r="F136" s="3" t="s">
        <v>59</v>
      </c>
      <c r="G136" s="3" t="s">
        <v>59</v>
      </c>
      <c r="H136" s="3" t="s">
        <v>86</v>
      </c>
      <c r="I136" s="3" t="s">
        <v>369</v>
      </c>
      <c r="J136" s="20" t="s">
        <v>372</v>
      </c>
      <c r="K136" s="3">
        <v>0.4375</v>
      </c>
      <c r="L136" s="3">
        <v>280</v>
      </c>
      <c r="M136" s="3">
        <v>-1.8549182072291199</v>
      </c>
      <c r="N136" s="3">
        <v>7.44113838990675E-3</v>
      </c>
      <c r="O136" s="3">
        <v>0</v>
      </c>
      <c r="P136" s="3">
        <v>361</v>
      </c>
      <c r="Q136" s="3">
        <v>0</v>
      </c>
      <c r="R136" s="3">
        <v>0</v>
      </c>
      <c r="S136" s="3">
        <v>0</v>
      </c>
      <c r="T136" s="3">
        <v>0</v>
      </c>
      <c r="U136" s="3">
        <v>0</v>
      </c>
      <c r="V136" s="3">
        <v>3</v>
      </c>
      <c r="W136" s="3">
        <v>0</v>
      </c>
      <c r="X136" s="3">
        <v>0</v>
      </c>
      <c r="Y136" s="3">
        <v>0</v>
      </c>
      <c r="Z136" s="3">
        <v>0</v>
      </c>
      <c r="AA136" s="3">
        <v>0</v>
      </c>
      <c r="AB136" s="3">
        <v>0</v>
      </c>
      <c r="AC136" s="3">
        <v>0</v>
      </c>
      <c r="AD136" s="3">
        <v>0</v>
      </c>
      <c r="AE136" s="3">
        <v>0</v>
      </c>
      <c r="AF136" s="3">
        <v>0.99175824175824201</v>
      </c>
      <c r="AG136" s="3">
        <v>0</v>
      </c>
      <c r="AH136" s="3">
        <v>0</v>
      </c>
      <c r="AI136" s="3">
        <v>8.2417582417582402E-3</v>
      </c>
      <c r="AJ136" s="3">
        <v>0</v>
      </c>
      <c r="AK136" s="3">
        <v>4.1208791208791201E-3</v>
      </c>
      <c r="AL136" s="3">
        <v>0.995879120879121</v>
      </c>
      <c r="AM136" s="3">
        <v>0</v>
      </c>
      <c r="AN136" s="3" t="s">
        <v>55</v>
      </c>
      <c r="AO136" s="3">
        <v>11.533333333333299</v>
      </c>
      <c r="AP136" s="3">
        <v>8.0379061371841196</v>
      </c>
      <c r="AQ136" s="3"/>
      <c r="AR136" s="3"/>
      <c r="AS136" s="3"/>
      <c r="AT136" s="3"/>
      <c r="AU136" s="3"/>
      <c r="AV136" s="3"/>
      <c r="AW136" s="6"/>
      <c r="AX136" s="6"/>
    </row>
    <row r="137" spans="1:50" hidden="1" x14ac:dyDescent="0.2">
      <c r="A137" s="3" t="s">
        <v>375</v>
      </c>
      <c r="B137" s="3" t="s">
        <v>224</v>
      </c>
      <c r="C137" s="3">
        <v>383088528</v>
      </c>
      <c r="D137" s="3" t="s">
        <v>109</v>
      </c>
      <c r="E137" s="3" t="s">
        <v>59</v>
      </c>
      <c r="F137" s="3" t="s">
        <v>45</v>
      </c>
      <c r="G137" s="3" t="s">
        <v>45</v>
      </c>
      <c r="H137" s="3" t="s">
        <v>86</v>
      </c>
      <c r="I137" s="3" t="s">
        <v>369</v>
      </c>
      <c r="J137" s="20" t="s">
        <v>376</v>
      </c>
      <c r="K137" s="3">
        <v>0.35892857142857099</v>
      </c>
      <c r="L137" s="3">
        <v>280</v>
      </c>
      <c r="M137" s="3">
        <v>-2.29642185776527</v>
      </c>
      <c r="N137" s="3">
        <v>4.4604526617597102E-4</v>
      </c>
      <c r="O137" s="3">
        <v>0</v>
      </c>
      <c r="P137" s="3">
        <v>0</v>
      </c>
      <c r="Q137" s="3">
        <v>0</v>
      </c>
      <c r="R137" s="3">
        <v>0</v>
      </c>
      <c r="S137" s="3">
        <v>0</v>
      </c>
      <c r="T137" s="3">
        <v>0</v>
      </c>
      <c r="U137" s="3">
        <v>352</v>
      </c>
      <c r="V137" s="3">
        <v>0</v>
      </c>
      <c r="W137" s="3">
        <v>12</v>
      </c>
      <c r="X137" s="3">
        <v>0</v>
      </c>
      <c r="Y137" s="3">
        <v>0</v>
      </c>
      <c r="Z137" s="3">
        <v>3.2967032967033003E-2</v>
      </c>
      <c r="AA137" s="3">
        <v>0</v>
      </c>
      <c r="AB137" s="3">
        <v>0.96703296703296704</v>
      </c>
      <c r="AC137" s="3">
        <v>0</v>
      </c>
      <c r="AD137" s="3">
        <v>0</v>
      </c>
      <c r="AE137" s="3">
        <v>0</v>
      </c>
      <c r="AF137" s="3">
        <v>0</v>
      </c>
      <c r="AG137" s="3">
        <v>0</v>
      </c>
      <c r="AH137" s="3">
        <v>0</v>
      </c>
      <c r="AI137" s="3">
        <v>0</v>
      </c>
      <c r="AJ137" s="3">
        <v>0</v>
      </c>
      <c r="AK137" s="3">
        <v>0.98351648351648402</v>
      </c>
      <c r="AL137" s="3">
        <v>0</v>
      </c>
      <c r="AM137" s="3">
        <v>1.6483516483516501E-2</v>
      </c>
      <c r="AN137" s="3" t="s">
        <v>55</v>
      </c>
      <c r="AO137" s="3">
        <v>11.3375</v>
      </c>
      <c r="AP137" s="3">
        <v>7.9794117647058798</v>
      </c>
      <c r="AQ137" s="3"/>
      <c r="AR137" s="3"/>
      <c r="AS137" s="3"/>
      <c r="AT137" s="3"/>
      <c r="AU137" s="3"/>
      <c r="AV137" s="3"/>
      <c r="AW137" s="6"/>
      <c r="AX137" s="6"/>
    </row>
    <row r="138" spans="1:50" ht="42" hidden="1" x14ac:dyDescent="0.2">
      <c r="A138" s="3" t="s">
        <v>431</v>
      </c>
      <c r="B138" s="3" t="s">
        <v>90</v>
      </c>
      <c r="C138" s="3">
        <v>530678956</v>
      </c>
      <c r="D138" s="3" t="s">
        <v>71</v>
      </c>
      <c r="E138" s="3" t="s">
        <v>45</v>
      </c>
      <c r="F138" s="3" t="s">
        <v>59</v>
      </c>
      <c r="G138" s="3" t="s">
        <v>59</v>
      </c>
      <c r="H138" s="3" t="s">
        <v>86</v>
      </c>
      <c r="I138" s="3" t="s">
        <v>432</v>
      </c>
      <c r="J138" s="20" t="s">
        <v>433</v>
      </c>
      <c r="K138" s="3">
        <v>5.1724137931034503E-2</v>
      </c>
      <c r="L138" s="3">
        <v>319</v>
      </c>
      <c r="M138" s="3">
        <v>-1.8546036984652701</v>
      </c>
      <c r="N138" s="3">
        <v>4.2687333931688598E-4</v>
      </c>
      <c r="O138" s="3">
        <v>0</v>
      </c>
      <c r="P138" s="3">
        <v>0</v>
      </c>
      <c r="Q138" s="3">
        <v>0</v>
      </c>
      <c r="R138" s="3">
        <v>0</v>
      </c>
      <c r="S138" s="3">
        <v>0</v>
      </c>
      <c r="T138" s="3">
        <v>335</v>
      </c>
      <c r="U138" s="3">
        <v>0</v>
      </c>
      <c r="V138" s="3">
        <v>0</v>
      </c>
      <c r="W138" s="3">
        <v>22</v>
      </c>
      <c r="X138" s="3">
        <v>0</v>
      </c>
      <c r="Y138" s="3">
        <v>0</v>
      </c>
      <c r="Z138" s="3">
        <v>6.1624649859944002E-2</v>
      </c>
      <c r="AA138" s="3">
        <v>0.93837535014005602</v>
      </c>
      <c r="AB138" s="3">
        <v>0</v>
      </c>
      <c r="AC138" s="3">
        <v>0</v>
      </c>
      <c r="AD138" s="3">
        <v>0</v>
      </c>
      <c r="AE138" s="3">
        <v>0</v>
      </c>
      <c r="AF138" s="3">
        <v>0</v>
      </c>
      <c r="AG138" s="3">
        <v>0</v>
      </c>
      <c r="AH138" s="3">
        <v>0</v>
      </c>
      <c r="AI138" s="3">
        <v>0</v>
      </c>
      <c r="AJ138" s="3">
        <v>0</v>
      </c>
      <c r="AK138" s="3">
        <v>3.0812324929972001E-2</v>
      </c>
      <c r="AL138" s="3">
        <v>0</v>
      </c>
      <c r="AM138" s="3">
        <v>0.96918767507002801</v>
      </c>
      <c r="AN138" s="3" t="s">
        <v>55</v>
      </c>
      <c r="AO138" s="3">
        <v>2.0473684210526302</v>
      </c>
      <c r="AP138" s="3">
        <v>3.0840000000000001</v>
      </c>
      <c r="AQ138" s="3" t="s">
        <v>676</v>
      </c>
      <c r="AR138" s="3" t="s">
        <v>635</v>
      </c>
      <c r="AS138" s="3" t="s">
        <v>677</v>
      </c>
      <c r="AT138" s="3" t="s">
        <v>636</v>
      </c>
      <c r="AU138" s="4">
        <v>1</v>
      </c>
      <c r="AV138" s="5">
        <v>0.96020000000000005</v>
      </c>
      <c r="AW138" s="10" t="s">
        <v>678</v>
      </c>
      <c r="AX138" s="6" t="s">
        <v>679</v>
      </c>
    </row>
    <row r="139" spans="1:50" ht="56" hidden="1" x14ac:dyDescent="0.2">
      <c r="A139" s="3" t="s">
        <v>437</v>
      </c>
      <c r="B139" s="3" t="s">
        <v>152</v>
      </c>
      <c r="C139" s="3">
        <v>16833484</v>
      </c>
      <c r="D139" s="3" t="s">
        <v>44</v>
      </c>
      <c r="E139" s="3" t="s">
        <v>46</v>
      </c>
      <c r="F139" s="3" t="s">
        <v>45</v>
      </c>
      <c r="G139" s="3" t="s">
        <v>46</v>
      </c>
      <c r="H139" s="3" t="s">
        <v>86</v>
      </c>
      <c r="I139" s="3" t="s">
        <v>432</v>
      </c>
      <c r="J139" s="20" t="s">
        <v>438</v>
      </c>
      <c r="K139" s="3">
        <v>1.5673981191222099E-3</v>
      </c>
      <c r="L139" s="3">
        <v>319</v>
      </c>
      <c r="M139" s="3">
        <v>-17.229815244987499</v>
      </c>
      <c r="N139" s="20" t="s">
        <v>439</v>
      </c>
      <c r="O139" s="3">
        <v>0</v>
      </c>
      <c r="P139" s="3">
        <v>0</v>
      </c>
      <c r="Q139" s="3">
        <v>0</v>
      </c>
      <c r="R139" s="3">
        <v>0</v>
      </c>
      <c r="S139" s="3">
        <v>18</v>
      </c>
      <c r="T139" s="3">
        <v>339</v>
      </c>
      <c r="U139" s="3">
        <v>0</v>
      </c>
      <c r="V139" s="3">
        <v>0</v>
      </c>
      <c r="W139" s="3">
        <v>0</v>
      </c>
      <c r="X139" s="3">
        <v>0</v>
      </c>
      <c r="Y139" s="3">
        <v>0</v>
      </c>
      <c r="Z139" s="3">
        <v>0</v>
      </c>
      <c r="AA139" s="3">
        <v>0.94957983193277296</v>
      </c>
      <c r="AB139" s="3">
        <v>0</v>
      </c>
      <c r="AC139" s="3">
        <v>0</v>
      </c>
      <c r="AD139" s="3">
        <v>0</v>
      </c>
      <c r="AE139" s="3">
        <v>0</v>
      </c>
      <c r="AF139" s="3">
        <v>0</v>
      </c>
      <c r="AG139" s="3">
        <v>5.0420168067226899E-2</v>
      </c>
      <c r="AH139" s="3">
        <v>0</v>
      </c>
      <c r="AI139" s="3">
        <v>0</v>
      </c>
      <c r="AJ139" s="3">
        <v>0</v>
      </c>
      <c r="AK139" s="3">
        <v>0</v>
      </c>
      <c r="AL139" s="3">
        <v>2.5210084033613401E-2</v>
      </c>
      <c r="AM139" s="3">
        <v>0.97478991596638698</v>
      </c>
      <c r="AN139" s="3" t="s">
        <v>55</v>
      </c>
      <c r="AO139" s="3">
        <v>4.8133333333333299</v>
      </c>
      <c r="AP139" s="3">
        <v>2.93388157894737</v>
      </c>
      <c r="AQ139" s="3" t="s">
        <v>914</v>
      </c>
      <c r="AR139" s="3"/>
      <c r="AS139" s="3" t="s">
        <v>680</v>
      </c>
      <c r="AT139" s="3" t="s">
        <v>636</v>
      </c>
      <c r="AU139" s="4">
        <v>0.8</v>
      </c>
      <c r="AV139" s="5">
        <v>0.7117</v>
      </c>
      <c r="AW139" s="12" t="s">
        <v>681</v>
      </c>
      <c r="AX139" s="6" t="s">
        <v>682</v>
      </c>
    </row>
    <row r="140" spans="1:50" ht="42" hidden="1" x14ac:dyDescent="0.2">
      <c r="A140" s="3" t="s">
        <v>442</v>
      </c>
      <c r="B140" s="3" t="s">
        <v>152</v>
      </c>
      <c r="C140" s="3">
        <v>491374653</v>
      </c>
      <c r="D140" s="3" t="s">
        <v>109</v>
      </c>
      <c r="E140" s="3" t="s">
        <v>59</v>
      </c>
      <c r="F140" s="3" t="s">
        <v>45</v>
      </c>
      <c r="G140" s="3" t="s">
        <v>45</v>
      </c>
      <c r="H140" s="3" t="s">
        <v>86</v>
      </c>
      <c r="I140" s="3" t="s">
        <v>432</v>
      </c>
      <c r="J140" s="20" t="s">
        <v>443</v>
      </c>
      <c r="K140" s="3">
        <v>0.43416927899686503</v>
      </c>
      <c r="L140" s="3">
        <v>319</v>
      </c>
      <c r="M140" s="3">
        <v>1.1231558308302501</v>
      </c>
      <c r="N140" s="3">
        <v>9.8135565743742693E-4</v>
      </c>
      <c r="O140" s="3">
        <v>0</v>
      </c>
      <c r="P140" s="3">
        <v>0</v>
      </c>
      <c r="Q140" s="3">
        <v>0</v>
      </c>
      <c r="R140" s="3">
        <v>0</v>
      </c>
      <c r="S140" s="3">
        <v>0</v>
      </c>
      <c r="T140" s="3">
        <v>9</v>
      </c>
      <c r="U140" s="3">
        <v>285</v>
      </c>
      <c r="V140" s="3">
        <v>0</v>
      </c>
      <c r="W140" s="3">
        <v>63</v>
      </c>
      <c r="X140" s="3">
        <v>0</v>
      </c>
      <c r="Y140" s="3">
        <v>0</v>
      </c>
      <c r="Z140" s="3">
        <v>0.17647058823529399</v>
      </c>
      <c r="AA140" s="3">
        <v>2.5210084033613401E-2</v>
      </c>
      <c r="AB140" s="3">
        <v>0.79831932773109204</v>
      </c>
      <c r="AC140" s="3">
        <v>0</v>
      </c>
      <c r="AD140" s="3">
        <v>0</v>
      </c>
      <c r="AE140" s="3">
        <v>0</v>
      </c>
      <c r="AF140" s="3">
        <v>0</v>
      </c>
      <c r="AG140" s="3">
        <v>0</v>
      </c>
      <c r="AH140" s="3">
        <v>0</v>
      </c>
      <c r="AI140" s="3">
        <v>0</v>
      </c>
      <c r="AJ140" s="3">
        <v>0</v>
      </c>
      <c r="AK140" s="3">
        <v>0.88655462184874001</v>
      </c>
      <c r="AL140" s="3">
        <v>0</v>
      </c>
      <c r="AM140" s="3">
        <v>0.113445378151261</v>
      </c>
      <c r="AN140" s="3">
        <v>2.0888888888888899</v>
      </c>
      <c r="AO140" s="3">
        <v>3.2448275862068998</v>
      </c>
      <c r="AP140" s="3">
        <v>3.0043650793650798</v>
      </c>
      <c r="AQ140" s="3" t="s">
        <v>683</v>
      </c>
      <c r="AR140" s="3" t="s">
        <v>684</v>
      </c>
      <c r="AS140" s="3" t="s">
        <v>913</v>
      </c>
      <c r="AT140" s="3"/>
      <c r="AU140" s="3"/>
      <c r="AV140" s="3"/>
      <c r="AW140" s="11" t="s">
        <v>685</v>
      </c>
      <c r="AX140" s="6" t="s">
        <v>686</v>
      </c>
    </row>
    <row r="141" spans="1:50" ht="210" hidden="1" x14ac:dyDescent="0.2">
      <c r="A141" s="3" t="s">
        <v>456</v>
      </c>
      <c r="B141" s="3" t="s">
        <v>113</v>
      </c>
      <c r="C141" s="3">
        <v>505205092</v>
      </c>
      <c r="D141" s="3" t="s">
        <v>52</v>
      </c>
      <c r="E141" s="3" t="s">
        <v>46</v>
      </c>
      <c r="F141" s="3" t="s">
        <v>53</v>
      </c>
      <c r="G141" s="3" t="s">
        <v>53</v>
      </c>
      <c r="H141" s="3" t="s">
        <v>86</v>
      </c>
      <c r="I141" s="3" t="s">
        <v>432</v>
      </c>
      <c r="J141" s="20" t="s">
        <v>457</v>
      </c>
      <c r="K141" s="3">
        <v>1.2539184952978E-2</v>
      </c>
      <c r="L141" s="3">
        <v>319</v>
      </c>
      <c r="M141" s="3">
        <v>-4.70100158931763</v>
      </c>
      <c r="N141" s="20" t="s">
        <v>458</v>
      </c>
      <c r="O141" s="3">
        <v>0</v>
      </c>
      <c r="P141" s="3">
        <v>357</v>
      </c>
      <c r="Q141" s="3">
        <v>0</v>
      </c>
      <c r="R141" s="3">
        <v>0</v>
      </c>
      <c r="S141" s="3">
        <v>0</v>
      </c>
      <c r="T141" s="3">
        <v>0</v>
      </c>
      <c r="U141" s="3">
        <v>0</v>
      </c>
      <c r="V141" s="3">
        <v>0</v>
      </c>
      <c r="W141" s="3">
        <v>0</v>
      </c>
      <c r="X141" s="3">
        <v>0</v>
      </c>
      <c r="Y141" s="3">
        <v>0</v>
      </c>
      <c r="Z141" s="3">
        <v>0</v>
      </c>
      <c r="AA141" s="3">
        <v>0</v>
      </c>
      <c r="AB141" s="3">
        <v>0</v>
      </c>
      <c r="AC141" s="3">
        <v>0</v>
      </c>
      <c r="AD141" s="3">
        <v>0</v>
      </c>
      <c r="AE141" s="3">
        <v>0</v>
      </c>
      <c r="AF141" s="3">
        <v>1</v>
      </c>
      <c r="AG141" s="3">
        <v>0</v>
      </c>
      <c r="AH141" s="3">
        <v>0</v>
      </c>
      <c r="AI141" s="3">
        <v>0</v>
      </c>
      <c r="AJ141" s="3">
        <v>0</v>
      </c>
      <c r="AK141" s="3">
        <v>0</v>
      </c>
      <c r="AL141" s="3">
        <v>1</v>
      </c>
      <c r="AM141" s="3">
        <v>0</v>
      </c>
      <c r="AN141" s="3" t="s">
        <v>55</v>
      </c>
      <c r="AO141" s="3" t="s">
        <v>55</v>
      </c>
      <c r="AP141" s="3">
        <v>3.0222570532915398</v>
      </c>
      <c r="AQ141" s="3" t="s">
        <v>694</v>
      </c>
      <c r="AR141" s="3" t="s">
        <v>695</v>
      </c>
      <c r="AS141" s="3" t="s">
        <v>696</v>
      </c>
      <c r="AT141" s="3" t="s">
        <v>636</v>
      </c>
      <c r="AU141" s="4">
        <v>1</v>
      </c>
      <c r="AV141" s="5">
        <v>0.97009999999999996</v>
      </c>
      <c r="AW141" s="11" t="s">
        <v>697</v>
      </c>
      <c r="AX141" s="6" t="s">
        <v>916</v>
      </c>
    </row>
    <row r="142" spans="1:50" ht="56" hidden="1" x14ac:dyDescent="0.2">
      <c r="A142" s="3" t="s">
        <v>522</v>
      </c>
      <c r="B142" s="3" t="s">
        <v>120</v>
      </c>
      <c r="C142" s="3">
        <v>552460009</v>
      </c>
      <c r="D142" s="3" t="s">
        <v>71</v>
      </c>
      <c r="E142" s="3" t="s">
        <v>45</v>
      </c>
      <c r="F142" s="3" t="s">
        <v>59</v>
      </c>
      <c r="G142" s="3" t="s">
        <v>59</v>
      </c>
      <c r="H142" s="3" t="s">
        <v>86</v>
      </c>
      <c r="I142" s="3" t="s">
        <v>519</v>
      </c>
      <c r="J142" s="20" t="s">
        <v>523</v>
      </c>
      <c r="K142" s="3">
        <v>1.5527950310558799E-3</v>
      </c>
      <c r="L142" s="3">
        <v>322</v>
      </c>
      <c r="M142" s="3">
        <v>-2.3290201585775598</v>
      </c>
      <c r="N142" s="20" t="s">
        <v>524</v>
      </c>
      <c r="O142" s="3">
        <v>0</v>
      </c>
      <c r="P142" s="3">
        <v>0</v>
      </c>
      <c r="Q142" s="3">
        <v>0</v>
      </c>
      <c r="R142" s="3">
        <v>0</v>
      </c>
      <c r="S142" s="3">
        <v>0</v>
      </c>
      <c r="T142" s="3">
        <v>349</v>
      </c>
      <c r="U142" s="3">
        <v>4</v>
      </c>
      <c r="V142" s="3">
        <v>0</v>
      </c>
      <c r="W142" s="3">
        <v>4</v>
      </c>
      <c r="X142" s="3">
        <v>0</v>
      </c>
      <c r="Y142" s="3">
        <v>0</v>
      </c>
      <c r="Z142" s="3">
        <v>1.1204481792717101E-2</v>
      </c>
      <c r="AA142" s="3">
        <v>0.97759103641456602</v>
      </c>
      <c r="AB142" s="3">
        <v>1.1204481792717101E-2</v>
      </c>
      <c r="AC142" s="3">
        <v>0</v>
      </c>
      <c r="AD142" s="3">
        <v>0</v>
      </c>
      <c r="AE142" s="3">
        <v>0</v>
      </c>
      <c r="AF142" s="3">
        <v>0</v>
      </c>
      <c r="AG142" s="3">
        <v>0</v>
      </c>
      <c r="AH142" s="3">
        <v>0</v>
      </c>
      <c r="AI142" s="3">
        <v>0</v>
      </c>
      <c r="AJ142" s="3">
        <v>0</v>
      </c>
      <c r="AK142" s="3">
        <v>1.6806722689075598E-2</v>
      </c>
      <c r="AL142" s="3">
        <v>0</v>
      </c>
      <c r="AM142" s="3">
        <v>0.98319327731092399</v>
      </c>
      <c r="AN142" s="3">
        <v>0</v>
      </c>
      <c r="AO142" s="3">
        <v>0.1</v>
      </c>
      <c r="AP142" s="3">
        <v>0.125714285714286</v>
      </c>
      <c r="AQ142" s="3" t="s">
        <v>702</v>
      </c>
      <c r="AR142" s="3" t="s">
        <v>703</v>
      </c>
      <c r="AS142" s="3" t="s">
        <v>704</v>
      </c>
      <c r="AT142" s="3" t="s">
        <v>636</v>
      </c>
      <c r="AU142" s="4">
        <v>1</v>
      </c>
      <c r="AV142" s="5">
        <v>0.94199999999999995</v>
      </c>
      <c r="AW142" s="8" t="s">
        <v>706</v>
      </c>
      <c r="AX142" s="6"/>
    </row>
    <row r="143" spans="1:50" hidden="1" x14ac:dyDescent="0.2">
      <c r="A143" s="3" t="s">
        <v>440</v>
      </c>
      <c r="B143" s="3" t="s">
        <v>152</v>
      </c>
      <c r="C143" s="3">
        <v>421470788</v>
      </c>
      <c r="D143" s="3" t="s">
        <v>127</v>
      </c>
      <c r="E143" s="3" t="s">
        <v>45</v>
      </c>
      <c r="F143" s="3" t="s">
        <v>53</v>
      </c>
      <c r="G143" s="3" t="s">
        <v>53</v>
      </c>
      <c r="H143" s="3" t="s">
        <v>86</v>
      </c>
      <c r="I143" s="3" t="s">
        <v>519</v>
      </c>
      <c r="J143" s="20" t="s">
        <v>525</v>
      </c>
      <c r="K143" s="3">
        <v>2.3291925465838501E-2</v>
      </c>
      <c r="L143" s="3">
        <v>322</v>
      </c>
      <c r="M143" s="3">
        <v>-0.39716700876795002</v>
      </c>
      <c r="N143" s="20" t="s">
        <v>526</v>
      </c>
      <c r="O143" s="3">
        <v>0</v>
      </c>
      <c r="P143" s="3">
        <v>0</v>
      </c>
      <c r="Q143" s="3">
        <v>0</v>
      </c>
      <c r="R143" s="3">
        <v>3</v>
      </c>
      <c r="S143" s="3">
        <v>0</v>
      </c>
      <c r="T143" s="3">
        <v>302</v>
      </c>
      <c r="U143" s="3">
        <v>0</v>
      </c>
      <c r="V143" s="3">
        <v>0</v>
      </c>
      <c r="W143" s="3">
        <v>0</v>
      </c>
      <c r="X143" s="3">
        <v>0</v>
      </c>
      <c r="Y143" s="3">
        <v>52</v>
      </c>
      <c r="Z143" s="3">
        <v>0</v>
      </c>
      <c r="AA143" s="3">
        <v>0.84593837535014005</v>
      </c>
      <c r="AB143" s="3">
        <v>0</v>
      </c>
      <c r="AC143" s="3">
        <v>0</v>
      </c>
      <c r="AD143" s="3">
        <v>8.4033613445378096E-3</v>
      </c>
      <c r="AE143" s="3">
        <v>0</v>
      </c>
      <c r="AF143" s="3">
        <v>0</v>
      </c>
      <c r="AG143" s="3">
        <v>0</v>
      </c>
      <c r="AH143" s="3">
        <v>0.145658263305322</v>
      </c>
      <c r="AI143" s="3">
        <v>0</v>
      </c>
      <c r="AJ143" s="3">
        <v>8.1232492997198896E-2</v>
      </c>
      <c r="AK143" s="3">
        <v>0</v>
      </c>
      <c r="AL143" s="3">
        <v>0</v>
      </c>
      <c r="AM143" s="3">
        <v>0.91876750700280096</v>
      </c>
      <c r="AN143" s="3">
        <v>0.16666666666666699</v>
      </c>
      <c r="AO143" s="3">
        <v>6.6000000000000003E-2</v>
      </c>
      <c r="AP143" s="3">
        <v>0.13420074349442401</v>
      </c>
      <c r="AQ143" s="3"/>
      <c r="AR143" s="3"/>
      <c r="AS143" s="3"/>
      <c r="AT143" s="3"/>
      <c r="AU143" s="3"/>
      <c r="AV143" s="3"/>
      <c r="AW143" s="6"/>
      <c r="AX143" s="6"/>
    </row>
    <row r="144" spans="1:50" hidden="1" x14ac:dyDescent="0.2">
      <c r="A144" s="3" t="s">
        <v>527</v>
      </c>
      <c r="B144" s="3" t="s">
        <v>152</v>
      </c>
      <c r="C144" s="3">
        <v>603983512</v>
      </c>
      <c r="D144" s="3" t="s">
        <v>71</v>
      </c>
      <c r="E144" s="3" t="s">
        <v>59</v>
      </c>
      <c r="F144" s="3" t="s">
        <v>45</v>
      </c>
      <c r="G144" s="3" t="s">
        <v>59</v>
      </c>
      <c r="H144" s="3" t="s">
        <v>86</v>
      </c>
      <c r="I144" s="3" t="s">
        <v>519</v>
      </c>
      <c r="J144" s="20" t="s">
        <v>528</v>
      </c>
      <c r="K144" s="3">
        <v>1.5527950310558799E-3</v>
      </c>
      <c r="L144" s="3">
        <v>322</v>
      </c>
      <c r="M144" s="3">
        <v>-0.97290991904358703</v>
      </c>
      <c r="N144" s="3">
        <v>2.1496810677513298E-3</v>
      </c>
      <c r="O144" s="3">
        <v>0</v>
      </c>
      <c r="P144" s="3">
        <v>0</v>
      </c>
      <c r="Q144" s="3">
        <v>0</v>
      </c>
      <c r="R144" s="3">
        <v>0</v>
      </c>
      <c r="S144" s="3">
        <v>0</v>
      </c>
      <c r="T144" s="3">
        <v>175</v>
      </c>
      <c r="U144" s="3">
        <v>41</v>
      </c>
      <c r="V144" s="3">
        <v>0</v>
      </c>
      <c r="W144" s="3">
        <v>141</v>
      </c>
      <c r="X144" s="3">
        <v>0</v>
      </c>
      <c r="Y144" s="3">
        <v>0</v>
      </c>
      <c r="Z144" s="3">
        <v>0.39495798319327702</v>
      </c>
      <c r="AA144" s="3">
        <v>0.49019607843137297</v>
      </c>
      <c r="AB144" s="3">
        <v>0.11484593837535</v>
      </c>
      <c r="AC144" s="3">
        <v>0</v>
      </c>
      <c r="AD144" s="3">
        <v>0</v>
      </c>
      <c r="AE144" s="3">
        <v>0</v>
      </c>
      <c r="AF144" s="3">
        <v>0</v>
      </c>
      <c r="AG144" s="3">
        <v>0</v>
      </c>
      <c r="AH144" s="3">
        <v>0</v>
      </c>
      <c r="AI144" s="3">
        <v>0</v>
      </c>
      <c r="AJ144" s="3">
        <v>0</v>
      </c>
      <c r="AK144" s="3">
        <v>0.31232492997198902</v>
      </c>
      <c r="AL144" s="3">
        <v>0</v>
      </c>
      <c r="AM144" s="3">
        <v>0.68767507002801098</v>
      </c>
      <c r="AN144" s="3">
        <v>9.4736842105263105E-2</v>
      </c>
      <c r="AO144" s="3">
        <v>0.10390625000000001</v>
      </c>
      <c r="AP144" s="3">
        <v>0.147435897435897</v>
      </c>
      <c r="AQ144" s="3" t="s">
        <v>707</v>
      </c>
      <c r="AR144" s="3" t="s">
        <v>708</v>
      </c>
      <c r="AS144" s="3" t="s">
        <v>913</v>
      </c>
      <c r="AT144" s="3"/>
      <c r="AU144" s="3"/>
      <c r="AV144" s="3"/>
      <c r="AW144" s="6"/>
      <c r="AX144" s="6"/>
    </row>
    <row r="145" spans="1:50" ht="154" hidden="1" x14ac:dyDescent="0.2">
      <c r="A145" s="3" t="s">
        <v>529</v>
      </c>
      <c r="B145" s="3" t="s">
        <v>97</v>
      </c>
      <c r="C145" s="3">
        <v>486726932</v>
      </c>
      <c r="D145" s="3" t="s">
        <v>139</v>
      </c>
      <c r="E145" s="3" t="s">
        <v>46</v>
      </c>
      <c r="F145" s="3" t="s">
        <v>45</v>
      </c>
      <c r="G145" s="3" t="s">
        <v>45</v>
      </c>
      <c r="H145" s="3" t="s">
        <v>86</v>
      </c>
      <c r="I145" s="3" t="s">
        <v>519</v>
      </c>
      <c r="J145" s="20" t="s">
        <v>530</v>
      </c>
      <c r="K145" s="3">
        <v>2.4844720496894498E-2</v>
      </c>
      <c r="L145" s="3">
        <v>322</v>
      </c>
      <c r="M145" s="3">
        <v>0.25457966308713098</v>
      </c>
      <c r="N145" s="20" t="s">
        <v>531</v>
      </c>
      <c r="O145" s="3">
        <v>0</v>
      </c>
      <c r="P145" s="3">
        <v>297</v>
      </c>
      <c r="Q145" s="3">
        <v>0</v>
      </c>
      <c r="R145" s="3">
        <v>0</v>
      </c>
      <c r="S145" s="3">
        <v>59</v>
      </c>
      <c r="T145" s="3">
        <v>1</v>
      </c>
      <c r="U145" s="3">
        <v>0</v>
      </c>
      <c r="V145" s="3">
        <v>0</v>
      </c>
      <c r="W145" s="3">
        <v>0</v>
      </c>
      <c r="X145" s="3">
        <v>0</v>
      </c>
      <c r="Y145" s="3">
        <v>0</v>
      </c>
      <c r="Z145" s="3">
        <v>0</v>
      </c>
      <c r="AA145" s="3">
        <v>2.80112044817927E-3</v>
      </c>
      <c r="AB145" s="3">
        <v>0</v>
      </c>
      <c r="AC145" s="3">
        <v>0</v>
      </c>
      <c r="AD145" s="3">
        <v>0</v>
      </c>
      <c r="AE145" s="3">
        <v>0</v>
      </c>
      <c r="AF145" s="3">
        <v>0.83193277310924396</v>
      </c>
      <c r="AG145" s="3">
        <v>0.165266106442577</v>
      </c>
      <c r="AH145" s="3">
        <v>0</v>
      </c>
      <c r="AI145" s="3">
        <v>0</v>
      </c>
      <c r="AJ145" s="3">
        <v>0</v>
      </c>
      <c r="AK145" s="3">
        <v>0</v>
      </c>
      <c r="AL145" s="3">
        <v>0.91456582633053196</v>
      </c>
      <c r="AM145" s="3">
        <v>8.5434173669467803E-2</v>
      </c>
      <c r="AN145" s="3">
        <v>0</v>
      </c>
      <c r="AO145" s="3">
        <v>0.105660377358491</v>
      </c>
      <c r="AP145" s="3">
        <v>0.12798507462686601</v>
      </c>
      <c r="AQ145" s="3" t="s">
        <v>709</v>
      </c>
      <c r="AR145" s="3" t="s">
        <v>710</v>
      </c>
      <c r="AS145" s="3" t="s">
        <v>913</v>
      </c>
      <c r="AT145" s="3"/>
      <c r="AU145" s="3"/>
      <c r="AV145" s="3"/>
      <c r="AW145" s="13" t="s">
        <v>912</v>
      </c>
      <c r="AX145" s="6" t="s">
        <v>918</v>
      </c>
    </row>
    <row r="146" spans="1:50" hidden="1" x14ac:dyDescent="0.2">
      <c r="A146" s="3" t="s">
        <v>538</v>
      </c>
      <c r="B146" s="3" t="s">
        <v>198</v>
      </c>
      <c r="C146" s="3">
        <v>550625854</v>
      </c>
      <c r="D146" s="3" t="s">
        <v>44</v>
      </c>
      <c r="E146" s="3" t="s">
        <v>45</v>
      </c>
      <c r="F146" s="3" t="s">
        <v>46</v>
      </c>
      <c r="G146" s="3" t="s">
        <v>46</v>
      </c>
      <c r="H146" s="3" t="s">
        <v>86</v>
      </c>
      <c r="I146" s="3" t="s">
        <v>519</v>
      </c>
      <c r="J146" s="20" t="s">
        <v>539</v>
      </c>
      <c r="K146" s="3">
        <v>2.0186335403726701E-2</v>
      </c>
      <c r="L146" s="3">
        <v>322</v>
      </c>
      <c r="M146" s="3">
        <v>0.61648664091459504</v>
      </c>
      <c r="N146" s="3">
        <v>2.5501595050162498E-4</v>
      </c>
      <c r="O146" s="3">
        <v>0</v>
      </c>
      <c r="P146" s="3">
        <v>0</v>
      </c>
      <c r="Q146" s="3">
        <v>0</v>
      </c>
      <c r="R146" s="3">
        <v>0</v>
      </c>
      <c r="S146" s="3">
        <v>16</v>
      </c>
      <c r="T146" s="3">
        <v>341</v>
      </c>
      <c r="U146" s="3">
        <v>0</v>
      </c>
      <c r="V146" s="3">
        <v>0</v>
      </c>
      <c r="W146" s="3">
        <v>0</v>
      </c>
      <c r="X146" s="3">
        <v>0</v>
      </c>
      <c r="Y146" s="3">
        <v>0</v>
      </c>
      <c r="Z146" s="3">
        <v>0</v>
      </c>
      <c r="AA146" s="3">
        <v>0.95518207282913203</v>
      </c>
      <c r="AB146" s="3">
        <v>0</v>
      </c>
      <c r="AC146" s="3">
        <v>0</v>
      </c>
      <c r="AD146" s="3">
        <v>0</v>
      </c>
      <c r="AE146" s="3">
        <v>0</v>
      </c>
      <c r="AF146" s="3">
        <v>0</v>
      </c>
      <c r="AG146" s="3">
        <v>4.4817927170868299E-2</v>
      </c>
      <c r="AH146" s="3">
        <v>0</v>
      </c>
      <c r="AI146" s="3">
        <v>0</v>
      </c>
      <c r="AJ146" s="3">
        <v>0</v>
      </c>
      <c r="AK146" s="3">
        <v>0</v>
      </c>
      <c r="AL146" s="3">
        <v>2.2408963585434202E-2</v>
      </c>
      <c r="AM146" s="3">
        <v>0.97759103641456602</v>
      </c>
      <c r="AN146" s="3" t="s">
        <v>55</v>
      </c>
      <c r="AO146" s="3">
        <v>0.05</v>
      </c>
      <c r="AP146" s="3">
        <v>0.12727272727272701</v>
      </c>
      <c r="AQ146" s="3"/>
      <c r="AR146" s="3"/>
      <c r="AS146" s="3"/>
      <c r="AT146" s="3"/>
      <c r="AU146" s="3"/>
      <c r="AV146" s="3"/>
      <c r="AW146" s="6"/>
      <c r="AX146" s="6"/>
    </row>
    <row r="147" spans="1:50" ht="154" hidden="1" x14ac:dyDescent="0.2">
      <c r="A147" s="3" t="s">
        <v>540</v>
      </c>
      <c r="B147" s="3" t="s">
        <v>198</v>
      </c>
      <c r="C147" s="3">
        <v>564391501</v>
      </c>
      <c r="D147" s="3" t="s">
        <v>71</v>
      </c>
      <c r="E147" s="3" t="s">
        <v>59</v>
      </c>
      <c r="F147" s="3" t="s">
        <v>45</v>
      </c>
      <c r="G147" s="3" t="s">
        <v>59</v>
      </c>
      <c r="H147" s="3" t="s">
        <v>86</v>
      </c>
      <c r="I147" s="3" t="s">
        <v>519</v>
      </c>
      <c r="J147" s="20" t="s">
        <v>541</v>
      </c>
      <c r="K147" s="3">
        <v>2.1739130434782601E-2</v>
      </c>
      <c r="L147" s="3">
        <v>322</v>
      </c>
      <c r="M147" s="3">
        <v>0.53204875056387602</v>
      </c>
      <c r="N147" s="3">
        <v>1.2677801842214399E-4</v>
      </c>
      <c r="O147" s="3">
        <v>0</v>
      </c>
      <c r="P147" s="3">
        <v>0</v>
      </c>
      <c r="Q147" s="3">
        <v>0</v>
      </c>
      <c r="R147" s="3">
        <v>0</v>
      </c>
      <c r="S147" s="3">
        <v>0</v>
      </c>
      <c r="T147" s="3">
        <v>240</v>
      </c>
      <c r="U147" s="3">
        <v>18</v>
      </c>
      <c r="V147" s="3">
        <v>0</v>
      </c>
      <c r="W147" s="3">
        <v>99</v>
      </c>
      <c r="X147" s="3">
        <v>0</v>
      </c>
      <c r="Y147" s="3">
        <v>0</v>
      </c>
      <c r="Z147" s="3">
        <v>0.27731092436974802</v>
      </c>
      <c r="AA147" s="3">
        <v>0.67226890756302504</v>
      </c>
      <c r="AB147" s="3">
        <v>5.0420168067226899E-2</v>
      </c>
      <c r="AC147" s="3">
        <v>0</v>
      </c>
      <c r="AD147" s="3">
        <v>0</v>
      </c>
      <c r="AE147" s="3">
        <v>0</v>
      </c>
      <c r="AF147" s="3">
        <v>0</v>
      </c>
      <c r="AG147" s="3">
        <v>0</v>
      </c>
      <c r="AH147" s="3">
        <v>0</v>
      </c>
      <c r="AI147" s="3">
        <v>0</v>
      </c>
      <c r="AJ147" s="3">
        <v>0</v>
      </c>
      <c r="AK147" s="3">
        <v>0.189075630252101</v>
      </c>
      <c r="AL147" s="3">
        <v>0</v>
      </c>
      <c r="AM147" s="3">
        <v>0.81092436974789905</v>
      </c>
      <c r="AN147" s="3">
        <v>0.18</v>
      </c>
      <c r="AO147" s="3">
        <v>9.8888888888888901E-2</v>
      </c>
      <c r="AP147" s="3">
        <v>0.13041474654377899</v>
      </c>
      <c r="AQ147" s="3" t="s">
        <v>713</v>
      </c>
      <c r="AR147" s="3" t="s">
        <v>714</v>
      </c>
      <c r="AS147" s="3" t="s">
        <v>715</v>
      </c>
      <c r="AT147" s="3" t="s">
        <v>636</v>
      </c>
      <c r="AU147" s="4">
        <v>1</v>
      </c>
      <c r="AV147" s="5">
        <v>0.98509999999999998</v>
      </c>
      <c r="AW147" s="12" t="s">
        <v>716</v>
      </c>
      <c r="AX147" s="6" t="s">
        <v>919</v>
      </c>
    </row>
    <row r="148" spans="1:50" hidden="1" x14ac:dyDescent="0.2">
      <c r="A148" s="3" t="s">
        <v>343</v>
      </c>
      <c r="B148" s="3" t="s">
        <v>138</v>
      </c>
      <c r="C148" s="3">
        <v>448435444</v>
      </c>
      <c r="D148" s="3" t="s">
        <v>44</v>
      </c>
      <c r="E148" s="3" t="s">
        <v>45</v>
      </c>
      <c r="F148" s="3" t="s">
        <v>46</v>
      </c>
      <c r="G148" s="3" t="s">
        <v>46</v>
      </c>
      <c r="H148" s="3" t="s">
        <v>337</v>
      </c>
      <c r="I148" s="3" t="s">
        <v>338</v>
      </c>
      <c r="J148" s="20" t="s">
        <v>344</v>
      </c>
      <c r="K148" s="3">
        <v>0.35795454545454503</v>
      </c>
      <c r="L148" s="3">
        <v>264</v>
      </c>
      <c r="M148" s="3">
        <v>-2.8507224582336801</v>
      </c>
      <c r="N148" s="3">
        <v>4.9835274970955901E-3</v>
      </c>
      <c r="O148" s="3">
        <v>0</v>
      </c>
      <c r="P148" s="3">
        <v>9</v>
      </c>
      <c r="Q148" s="3">
        <v>0</v>
      </c>
      <c r="R148" s="3">
        <v>0</v>
      </c>
      <c r="S148" s="3">
        <v>89</v>
      </c>
      <c r="T148" s="3">
        <v>266</v>
      </c>
      <c r="U148" s="3">
        <v>0</v>
      </c>
      <c r="V148" s="3">
        <v>0</v>
      </c>
      <c r="W148" s="3">
        <v>0</v>
      </c>
      <c r="X148" s="3">
        <v>0</v>
      </c>
      <c r="Y148" s="3">
        <v>0</v>
      </c>
      <c r="Z148" s="3">
        <v>0</v>
      </c>
      <c r="AA148" s="3">
        <v>0.73076923076923095</v>
      </c>
      <c r="AB148" s="3">
        <v>0</v>
      </c>
      <c r="AC148" s="3">
        <v>0</v>
      </c>
      <c r="AD148" s="3">
        <v>0</v>
      </c>
      <c r="AE148" s="3">
        <v>0</v>
      </c>
      <c r="AF148" s="3">
        <v>2.47252747252747E-2</v>
      </c>
      <c r="AG148" s="3">
        <v>0.244505494505494</v>
      </c>
      <c r="AH148" s="3">
        <v>0</v>
      </c>
      <c r="AI148" s="3">
        <v>0</v>
      </c>
      <c r="AJ148" s="3">
        <v>0</v>
      </c>
      <c r="AK148" s="3">
        <v>0</v>
      </c>
      <c r="AL148" s="3">
        <v>0.14697802197802201</v>
      </c>
      <c r="AM148" s="3">
        <v>0.85302197802197799</v>
      </c>
      <c r="AN148" s="3">
        <v>96.262626249999997</v>
      </c>
      <c r="AO148" s="3">
        <v>95.100771023076902</v>
      </c>
      <c r="AP148" s="3">
        <v>93.532443374611404</v>
      </c>
      <c r="AQ148" s="3" t="s">
        <v>727</v>
      </c>
      <c r="AR148" s="3" t="s">
        <v>635</v>
      </c>
      <c r="AS148" s="3" t="s">
        <v>913</v>
      </c>
      <c r="AT148" s="3"/>
      <c r="AU148" s="3"/>
      <c r="AV148" s="3"/>
      <c r="AW148" s="6"/>
      <c r="AX148" s="6"/>
    </row>
    <row r="149" spans="1:50" ht="56" hidden="1" x14ac:dyDescent="0.2">
      <c r="A149" s="3" t="s">
        <v>345</v>
      </c>
      <c r="B149" s="3" t="s">
        <v>97</v>
      </c>
      <c r="C149" s="3">
        <v>161844379</v>
      </c>
      <c r="D149" s="3" t="s">
        <v>67</v>
      </c>
      <c r="E149" s="3" t="s">
        <v>53</v>
      </c>
      <c r="F149" s="3" t="s">
        <v>46</v>
      </c>
      <c r="G149" s="3" t="s">
        <v>46</v>
      </c>
      <c r="H149" s="3" t="s">
        <v>337</v>
      </c>
      <c r="I149" s="3" t="s">
        <v>338</v>
      </c>
      <c r="J149" s="20" t="s">
        <v>346</v>
      </c>
      <c r="K149" s="3">
        <v>9.4696969696970203E-3</v>
      </c>
      <c r="L149" s="3">
        <v>264</v>
      </c>
      <c r="M149" s="3">
        <v>17.977705343617298</v>
      </c>
      <c r="N149" s="20" t="s">
        <v>347</v>
      </c>
      <c r="O149" s="3">
        <v>0</v>
      </c>
      <c r="P149" s="3">
        <v>8</v>
      </c>
      <c r="Q149" s="3">
        <v>42</v>
      </c>
      <c r="R149" s="3">
        <v>314</v>
      </c>
      <c r="S149" s="3">
        <v>0</v>
      </c>
      <c r="T149" s="3">
        <v>0</v>
      </c>
      <c r="U149" s="3">
        <v>0</v>
      </c>
      <c r="V149" s="3">
        <v>0</v>
      </c>
      <c r="W149" s="3">
        <v>0</v>
      </c>
      <c r="X149" s="3">
        <v>0</v>
      </c>
      <c r="Y149" s="3">
        <v>0</v>
      </c>
      <c r="Z149" s="3">
        <v>0</v>
      </c>
      <c r="AA149" s="3">
        <v>0</v>
      </c>
      <c r="AB149" s="3">
        <v>0</v>
      </c>
      <c r="AC149" s="3">
        <v>0</v>
      </c>
      <c r="AD149" s="3">
        <v>0.86263736263736301</v>
      </c>
      <c r="AE149" s="3">
        <v>0.115384615384615</v>
      </c>
      <c r="AF149" s="3">
        <v>2.1978021978022001E-2</v>
      </c>
      <c r="AG149" s="3">
        <v>0</v>
      </c>
      <c r="AH149" s="3">
        <v>0</v>
      </c>
      <c r="AI149" s="3">
        <v>0</v>
      </c>
      <c r="AJ149" s="3">
        <v>0.92032967032966995</v>
      </c>
      <c r="AK149" s="3">
        <v>0</v>
      </c>
      <c r="AL149" s="3">
        <v>7.9670329670329706E-2</v>
      </c>
      <c r="AM149" s="3">
        <v>0</v>
      </c>
      <c r="AN149" s="3">
        <v>97.777777766666702</v>
      </c>
      <c r="AO149" s="3">
        <v>92.619701724999999</v>
      </c>
      <c r="AP149" s="3">
        <v>94.047257088695702</v>
      </c>
      <c r="AQ149" s="3" t="s">
        <v>728</v>
      </c>
      <c r="AR149" s="3" t="s">
        <v>729</v>
      </c>
      <c r="AS149" s="3" t="s">
        <v>913</v>
      </c>
      <c r="AT149" s="3"/>
      <c r="AU149" s="3"/>
      <c r="AV149" s="3"/>
      <c r="AW149" s="10" t="s">
        <v>730</v>
      </c>
      <c r="AX149" s="6" t="s">
        <v>731</v>
      </c>
    </row>
    <row r="150" spans="1:50" hidden="1" x14ac:dyDescent="0.2">
      <c r="A150" s="3" t="s">
        <v>417</v>
      </c>
      <c r="B150" s="3" t="s">
        <v>77</v>
      </c>
      <c r="C150" s="3">
        <v>548956709</v>
      </c>
      <c r="D150" s="3" t="s">
        <v>44</v>
      </c>
      <c r="E150" s="3" t="s">
        <v>46</v>
      </c>
      <c r="F150" s="3" t="s">
        <v>45</v>
      </c>
      <c r="G150" s="3" t="s">
        <v>46</v>
      </c>
      <c r="H150" s="3" t="s">
        <v>337</v>
      </c>
      <c r="I150" s="3" t="s">
        <v>369</v>
      </c>
      <c r="J150" s="20" t="s">
        <v>418</v>
      </c>
      <c r="K150" s="3">
        <v>1.94174757281553E-2</v>
      </c>
      <c r="L150" s="3">
        <v>309</v>
      </c>
      <c r="M150" s="3">
        <v>26.940592352629199</v>
      </c>
      <c r="N150" s="3">
        <v>1.1082534596075001E-3</v>
      </c>
      <c r="O150" s="3">
        <v>0</v>
      </c>
      <c r="P150" s="3">
        <v>15</v>
      </c>
      <c r="Q150" s="3">
        <v>0</v>
      </c>
      <c r="R150" s="3">
        <v>0</v>
      </c>
      <c r="S150" s="3">
        <v>27</v>
      </c>
      <c r="T150" s="3">
        <v>322</v>
      </c>
      <c r="U150" s="3">
        <v>0</v>
      </c>
      <c r="V150" s="3">
        <v>0</v>
      </c>
      <c r="W150" s="3">
        <v>0</v>
      </c>
      <c r="X150" s="3">
        <v>0</v>
      </c>
      <c r="Y150" s="3">
        <v>0</v>
      </c>
      <c r="Z150" s="3">
        <v>0</v>
      </c>
      <c r="AA150" s="3">
        <v>0.88461538461538503</v>
      </c>
      <c r="AB150" s="3">
        <v>0</v>
      </c>
      <c r="AC150" s="3">
        <v>0</v>
      </c>
      <c r="AD150" s="3">
        <v>0</v>
      </c>
      <c r="AE150" s="3">
        <v>0</v>
      </c>
      <c r="AF150" s="3">
        <v>4.1208791208791201E-2</v>
      </c>
      <c r="AG150" s="3">
        <v>7.4175824175824204E-2</v>
      </c>
      <c r="AH150" s="3">
        <v>0</v>
      </c>
      <c r="AI150" s="3">
        <v>0</v>
      </c>
      <c r="AJ150" s="3">
        <v>0</v>
      </c>
      <c r="AK150" s="3">
        <v>0</v>
      </c>
      <c r="AL150" s="3">
        <v>7.8296703296703296E-2</v>
      </c>
      <c r="AM150" s="3">
        <v>0.92170329670329698</v>
      </c>
      <c r="AN150" s="3">
        <v>86.071428571666701</v>
      </c>
      <c r="AO150" s="3">
        <v>82.868324857272697</v>
      </c>
      <c r="AP150" s="3">
        <v>78.151575273745394</v>
      </c>
      <c r="AQ150" s="3"/>
      <c r="AR150" s="3"/>
      <c r="AS150" s="3"/>
      <c r="AT150" s="3"/>
      <c r="AU150" s="3"/>
      <c r="AV150" s="3"/>
      <c r="AW150" s="6"/>
      <c r="AX150" s="6"/>
    </row>
    <row r="151" spans="1:50" hidden="1" x14ac:dyDescent="0.2">
      <c r="A151" s="3" t="s">
        <v>419</v>
      </c>
      <c r="B151" s="3" t="s">
        <v>169</v>
      </c>
      <c r="C151" s="3">
        <v>12880934</v>
      </c>
      <c r="D151" s="3" t="s">
        <v>127</v>
      </c>
      <c r="E151" s="3" t="s">
        <v>45</v>
      </c>
      <c r="F151" s="3" t="s">
        <v>53</v>
      </c>
      <c r="G151" s="3" t="s">
        <v>53</v>
      </c>
      <c r="H151" s="3" t="s">
        <v>337</v>
      </c>
      <c r="I151" s="3" t="s">
        <v>369</v>
      </c>
      <c r="J151" s="20" t="s">
        <v>420</v>
      </c>
      <c r="K151" s="3">
        <v>0.21521035598705501</v>
      </c>
      <c r="L151" s="3">
        <v>309</v>
      </c>
      <c r="M151" s="3">
        <v>6.7668552182579997</v>
      </c>
      <c r="N151" s="3">
        <v>1.2036504489692399E-2</v>
      </c>
      <c r="O151" s="3">
        <v>0</v>
      </c>
      <c r="P151" s="3">
        <v>0</v>
      </c>
      <c r="Q151" s="3">
        <v>0</v>
      </c>
      <c r="R151" s="3">
        <v>1</v>
      </c>
      <c r="S151" s="3">
        <v>0</v>
      </c>
      <c r="T151" s="3">
        <v>358</v>
      </c>
      <c r="U151" s="3">
        <v>0</v>
      </c>
      <c r="V151" s="3">
        <v>0</v>
      </c>
      <c r="W151" s="3">
        <v>0</v>
      </c>
      <c r="X151" s="3">
        <v>0</v>
      </c>
      <c r="Y151" s="3">
        <v>5</v>
      </c>
      <c r="Z151" s="3">
        <v>0</v>
      </c>
      <c r="AA151" s="3">
        <v>0.98351648351648302</v>
      </c>
      <c r="AB151" s="3">
        <v>0</v>
      </c>
      <c r="AC151" s="3">
        <v>0</v>
      </c>
      <c r="AD151" s="3">
        <v>2.7472527472527501E-3</v>
      </c>
      <c r="AE151" s="3">
        <v>0</v>
      </c>
      <c r="AF151" s="3">
        <v>0</v>
      </c>
      <c r="AG151" s="3">
        <v>0</v>
      </c>
      <c r="AH151" s="3">
        <v>1.37362637362637E-2</v>
      </c>
      <c r="AI151" s="3">
        <v>0</v>
      </c>
      <c r="AJ151" s="3">
        <v>9.6153846153846194E-3</v>
      </c>
      <c r="AK151" s="3">
        <v>0</v>
      </c>
      <c r="AL151" s="3">
        <v>0</v>
      </c>
      <c r="AM151" s="3">
        <v>0.99038461538461497</v>
      </c>
      <c r="AN151" s="3">
        <v>58.333333330000002</v>
      </c>
      <c r="AO151" s="3">
        <v>73.428571427999998</v>
      </c>
      <c r="AP151" s="3">
        <v>78.951047193168307</v>
      </c>
      <c r="AQ151" s="3"/>
      <c r="AR151" s="3"/>
      <c r="AS151" s="3"/>
      <c r="AT151" s="3"/>
      <c r="AU151" s="3"/>
      <c r="AV151" s="3"/>
      <c r="AW151" s="6"/>
      <c r="AX151" s="6"/>
    </row>
    <row r="152" spans="1:50" hidden="1" x14ac:dyDescent="0.2">
      <c r="A152" s="3" t="s">
        <v>421</v>
      </c>
      <c r="B152" s="3" t="s">
        <v>169</v>
      </c>
      <c r="C152" s="3">
        <v>433049091</v>
      </c>
      <c r="D152" s="3" t="s">
        <v>260</v>
      </c>
      <c r="E152" s="3" t="s">
        <v>59</v>
      </c>
      <c r="F152" s="3" t="s">
        <v>53</v>
      </c>
      <c r="G152" s="3" t="s">
        <v>59</v>
      </c>
      <c r="H152" s="3" t="s">
        <v>337</v>
      </c>
      <c r="I152" s="3" t="s">
        <v>369</v>
      </c>
      <c r="J152" s="20" t="s">
        <v>422</v>
      </c>
      <c r="K152" s="3">
        <v>4.6925566343042097E-2</v>
      </c>
      <c r="L152" s="3">
        <v>309</v>
      </c>
      <c r="M152" s="3">
        <v>15.163032979007101</v>
      </c>
      <c r="N152" s="3">
        <v>1.2036504489692399E-2</v>
      </c>
      <c r="O152" s="3">
        <v>0</v>
      </c>
      <c r="P152" s="3">
        <v>0</v>
      </c>
      <c r="Q152" s="3">
        <v>0</v>
      </c>
      <c r="R152" s="3">
        <v>302</v>
      </c>
      <c r="S152" s="3">
        <v>0</v>
      </c>
      <c r="T152" s="3">
        <v>0</v>
      </c>
      <c r="U152" s="3">
        <v>4</v>
      </c>
      <c r="V152" s="3">
        <v>0</v>
      </c>
      <c r="W152" s="3">
        <v>0</v>
      </c>
      <c r="X152" s="3">
        <v>58</v>
      </c>
      <c r="Y152" s="3">
        <v>0</v>
      </c>
      <c r="Z152" s="3">
        <v>0</v>
      </c>
      <c r="AA152" s="3">
        <v>0</v>
      </c>
      <c r="AB152" s="3">
        <v>1.0989010989011E-2</v>
      </c>
      <c r="AC152" s="3">
        <v>0.159340659340659</v>
      </c>
      <c r="AD152" s="3">
        <v>0.82967032967033005</v>
      </c>
      <c r="AE152" s="3">
        <v>0</v>
      </c>
      <c r="AF152" s="3">
        <v>0</v>
      </c>
      <c r="AG152" s="3">
        <v>0</v>
      </c>
      <c r="AH152" s="3">
        <v>0</v>
      </c>
      <c r="AI152" s="3">
        <v>0</v>
      </c>
      <c r="AJ152" s="3">
        <v>0.90934065934066</v>
      </c>
      <c r="AK152" s="3">
        <v>9.0659340659340698E-2</v>
      </c>
      <c r="AL152" s="3">
        <v>0</v>
      </c>
      <c r="AM152" s="3">
        <v>0</v>
      </c>
      <c r="AN152" s="3">
        <v>82.788461537499998</v>
      </c>
      <c r="AO152" s="3">
        <v>76.296315985000007</v>
      </c>
      <c r="AP152" s="3">
        <v>79.199480453579795</v>
      </c>
      <c r="AQ152" s="3"/>
      <c r="AR152" s="3"/>
      <c r="AS152" s="3"/>
      <c r="AT152" s="3"/>
      <c r="AU152" s="3"/>
      <c r="AV152" s="3"/>
      <c r="AW152" s="6"/>
      <c r="AX152" s="6"/>
    </row>
    <row r="153" spans="1:50" hidden="1" x14ac:dyDescent="0.2">
      <c r="A153" s="3" t="s">
        <v>387</v>
      </c>
      <c r="B153" s="3" t="s">
        <v>66</v>
      </c>
      <c r="C153" s="3">
        <v>336690977</v>
      </c>
      <c r="D153" s="3" t="s">
        <v>67</v>
      </c>
      <c r="E153" s="3" t="s">
        <v>53</v>
      </c>
      <c r="F153" s="3" t="s">
        <v>46</v>
      </c>
      <c r="G153" s="3" t="s">
        <v>46</v>
      </c>
      <c r="H153" s="3" t="s">
        <v>382</v>
      </c>
      <c r="I153" s="3" t="s">
        <v>369</v>
      </c>
      <c r="J153" s="20" t="s">
        <v>388</v>
      </c>
      <c r="K153" s="3">
        <v>1.78571428571428E-3</v>
      </c>
      <c r="L153" s="3">
        <v>280</v>
      </c>
      <c r="M153" s="3">
        <v>-2.5399765694142502</v>
      </c>
      <c r="N153" s="20" t="s">
        <v>389</v>
      </c>
      <c r="O153" s="3">
        <v>0</v>
      </c>
      <c r="P153" s="3">
        <v>3</v>
      </c>
      <c r="Q153" s="3">
        <v>171</v>
      </c>
      <c r="R153" s="3">
        <v>190</v>
      </c>
      <c r="S153" s="3">
        <v>0</v>
      </c>
      <c r="T153" s="3">
        <v>0</v>
      </c>
      <c r="U153" s="3">
        <v>0</v>
      </c>
      <c r="V153" s="3">
        <v>0</v>
      </c>
      <c r="W153" s="3">
        <v>0</v>
      </c>
      <c r="X153" s="3">
        <v>0</v>
      </c>
      <c r="Y153" s="3">
        <v>0</v>
      </c>
      <c r="Z153" s="3">
        <v>0</v>
      </c>
      <c r="AA153" s="3">
        <v>0</v>
      </c>
      <c r="AB153" s="3">
        <v>0</v>
      </c>
      <c r="AC153" s="3">
        <v>0</v>
      </c>
      <c r="AD153" s="3">
        <v>0.52197802197802201</v>
      </c>
      <c r="AE153" s="3">
        <v>0.46978021978022</v>
      </c>
      <c r="AF153" s="3">
        <v>8.2417582417582402E-3</v>
      </c>
      <c r="AG153" s="3">
        <v>0</v>
      </c>
      <c r="AH153" s="3">
        <v>0</v>
      </c>
      <c r="AI153" s="3">
        <v>0</v>
      </c>
      <c r="AJ153" s="3">
        <v>0.75686813186813195</v>
      </c>
      <c r="AK153" s="3">
        <v>0</v>
      </c>
      <c r="AL153" s="3">
        <v>0.24313186813186799</v>
      </c>
      <c r="AM153" s="3">
        <v>0</v>
      </c>
      <c r="AN153" s="3">
        <v>0.46666666666666701</v>
      </c>
      <c r="AO153" s="3">
        <v>0.290225563909774</v>
      </c>
      <c r="AP153" s="3">
        <v>0.34861111111111098</v>
      </c>
      <c r="AQ153" s="3"/>
      <c r="AR153" s="3"/>
      <c r="AS153" s="3"/>
      <c r="AT153" s="3"/>
      <c r="AU153" s="3"/>
      <c r="AV153" s="3"/>
      <c r="AW153" s="6"/>
      <c r="AX153" s="6"/>
    </row>
    <row r="154" spans="1:50" ht="56" hidden="1" x14ac:dyDescent="0.2">
      <c r="A154" s="3" t="s">
        <v>522</v>
      </c>
      <c r="B154" s="3" t="s">
        <v>120</v>
      </c>
      <c r="C154" s="3">
        <v>552460009</v>
      </c>
      <c r="D154" s="3" t="s">
        <v>71</v>
      </c>
      <c r="E154" s="3" t="s">
        <v>45</v>
      </c>
      <c r="F154" s="3" t="s">
        <v>59</v>
      </c>
      <c r="G154" s="3" t="s">
        <v>59</v>
      </c>
      <c r="H154" s="3" t="s">
        <v>382</v>
      </c>
      <c r="I154" s="3" t="s">
        <v>519</v>
      </c>
      <c r="J154" s="20" t="s">
        <v>575</v>
      </c>
      <c r="K154" s="3">
        <v>1.5527950310558799E-3</v>
      </c>
      <c r="L154" s="3">
        <v>322</v>
      </c>
      <c r="M154" s="3">
        <v>-2.6774546681694602</v>
      </c>
      <c r="N154" s="20" t="s">
        <v>576</v>
      </c>
      <c r="O154" s="3">
        <v>0</v>
      </c>
      <c r="P154" s="3">
        <v>0</v>
      </c>
      <c r="Q154" s="3">
        <v>0</v>
      </c>
      <c r="R154" s="3">
        <v>0</v>
      </c>
      <c r="S154" s="3">
        <v>0</v>
      </c>
      <c r="T154" s="3">
        <v>349</v>
      </c>
      <c r="U154" s="3">
        <v>4</v>
      </c>
      <c r="V154" s="3">
        <v>0</v>
      </c>
      <c r="W154" s="3">
        <v>4</v>
      </c>
      <c r="X154" s="3">
        <v>0</v>
      </c>
      <c r="Y154" s="3">
        <v>0</v>
      </c>
      <c r="Z154" s="3">
        <v>1.1204481792717101E-2</v>
      </c>
      <c r="AA154" s="3">
        <v>0.97759103641456602</v>
      </c>
      <c r="AB154" s="3">
        <v>1.1204481792717101E-2</v>
      </c>
      <c r="AC154" s="3">
        <v>0</v>
      </c>
      <c r="AD154" s="3">
        <v>0</v>
      </c>
      <c r="AE154" s="3">
        <v>0</v>
      </c>
      <c r="AF154" s="3">
        <v>0</v>
      </c>
      <c r="AG154" s="3">
        <v>0</v>
      </c>
      <c r="AH154" s="3">
        <v>0</v>
      </c>
      <c r="AI154" s="3">
        <v>0</v>
      </c>
      <c r="AJ154" s="3">
        <v>0</v>
      </c>
      <c r="AK154" s="3">
        <v>1.6806722689075598E-2</v>
      </c>
      <c r="AL154" s="3">
        <v>0</v>
      </c>
      <c r="AM154" s="3">
        <v>0.98319327731092399</v>
      </c>
      <c r="AN154" s="3">
        <v>2.5000000000000001E-2</v>
      </c>
      <c r="AO154" s="3">
        <v>0.2</v>
      </c>
      <c r="AP154" s="3">
        <v>4.6666666666666697E-2</v>
      </c>
      <c r="AQ154" s="3" t="s">
        <v>702</v>
      </c>
      <c r="AR154" s="3" t="s">
        <v>736</v>
      </c>
      <c r="AS154" s="3" t="s">
        <v>737</v>
      </c>
      <c r="AT154" s="3" t="s">
        <v>636</v>
      </c>
      <c r="AU154" s="4">
        <v>1</v>
      </c>
      <c r="AV154" s="5">
        <v>0.94199999999999995</v>
      </c>
      <c r="AW154" s="8" t="s">
        <v>705</v>
      </c>
      <c r="AX154" s="6" t="s">
        <v>706</v>
      </c>
    </row>
    <row r="155" spans="1:50" hidden="1" x14ac:dyDescent="0.2">
      <c r="A155" s="3" t="s">
        <v>585</v>
      </c>
      <c r="B155" s="3" t="s">
        <v>224</v>
      </c>
      <c r="C155" s="3">
        <v>343702896</v>
      </c>
      <c r="D155" s="3" t="s">
        <v>127</v>
      </c>
      <c r="E155" s="3" t="s">
        <v>45</v>
      </c>
      <c r="F155" s="3" t="s">
        <v>53</v>
      </c>
      <c r="G155" s="3" t="s">
        <v>53</v>
      </c>
      <c r="H155" s="3" t="s">
        <v>382</v>
      </c>
      <c r="I155" s="3" t="s">
        <v>519</v>
      </c>
      <c r="J155" s="20" t="s">
        <v>586</v>
      </c>
      <c r="K155" s="3">
        <v>1.5527950310558799E-3</v>
      </c>
      <c r="L155" s="3">
        <v>322</v>
      </c>
      <c r="M155" s="3">
        <v>-0.39541842466085497</v>
      </c>
      <c r="N155" s="3">
        <v>1.0948348639649799E-3</v>
      </c>
      <c r="O155" s="3">
        <v>0</v>
      </c>
      <c r="P155" s="3">
        <v>0</v>
      </c>
      <c r="Q155" s="3">
        <v>0</v>
      </c>
      <c r="R155" s="3">
        <v>5</v>
      </c>
      <c r="S155" s="3">
        <v>0</v>
      </c>
      <c r="T155" s="3">
        <v>287</v>
      </c>
      <c r="U155" s="3">
        <v>0</v>
      </c>
      <c r="V155" s="3">
        <v>0</v>
      </c>
      <c r="W155" s="3">
        <v>0</v>
      </c>
      <c r="X155" s="3">
        <v>0</v>
      </c>
      <c r="Y155" s="3">
        <v>65</v>
      </c>
      <c r="Z155" s="3">
        <v>0</v>
      </c>
      <c r="AA155" s="3">
        <v>0.80392156862745101</v>
      </c>
      <c r="AB155" s="3">
        <v>0</v>
      </c>
      <c r="AC155" s="3">
        <v>0</v>
      </c>
      <c r="AD155" s="3">
        <v>1.4005602240896401E-2</v>
      </c>
      <c r="AE155" s="3">
        <v>0</v>
      </c>
      <c r="AF155" s="3">
        <v>0</v>
      </c>
      <c r="AG155" s="3">
        <v>0</v>
      </c>
      <c r="AH155" s="3">
        <v>0.18207282913165301</v>
      </c>
      <c r="AI155" s="3">
        <v>0</v>
      </c>
      <c r="AJ155" s="3">
        <v>0.105042016806723</v>
      </c>
      <c r="AK155" s="3">
        <v>0</v>
      </c>
      <c r="AL155" s="3">
        <v>0</v>
      </c>
      <c r="AM155" s="3">
        <v>0.89495798319327702</v>
      </c>
      <c r="AN155" s="3">
        <v>0</v>
      </c>
      <c r="AO155" s="3">
        <v>4.4262295081967197E-2</v>
      </c>
      <c r="AP155" s="3">
        <v>4.9416342412451401E-2</v>
      </c>
      <c r="AQ155" s="3"/>
      <c r="AR155" s="3"/>
      <c r="AS155" s="3"/>
      <c r="AT155" s="3"/>
      <c r="AU155" s="3"/>
      <c r="AV155" s="3"/>
      <c r="AW155" s="6"/>
      <c r="AX155" s="6"/>
    </row>
    <row r="156" spans="1:50" hidden="1" x14ac:dyDescent="0.2">
      <c r="A156" s="3" t="s">
        <v>590</v>
      </c>
      <c r="B156" s="3" t="s">
        <v>70</v>
      </c>
      <c r="C156" s="3">
        <v>65302073</v>
      </c>
      <c r="D156" s="3" t="s">
        <v>71</v>
      </c>
      <c r="E156" s="3" t="s">
        <v>45</v>
      </c>
      <c r="F156" s="3" t="s">
        <v>59</v>
      </c>
      <c r="G156" s="3" t="s">
        <v>59</v>
      </c>
      <c r="H156" s="3" t="s">
        <v>382</v>
      </c>
      <c r="I156" s="3" t="s">
        <v>519</v>
      </c>
      <c r="J156" s="20" t="s">
        <v>591</v>
      </c>
      <c r="K156" s="3">
        <v>2.1739130434782601E-2</v>
      </c>
      <c r="L156" s="3">
        <v>322</v>
      </c>
      <c r="M156" s="3">
        <v>1.3288871357330301</v>
      </c>
      <c r="N156" s="20" t="s">
        <v>592</v>
      </c>
      <c r="O156" s="3">
        <v>0</v>
      </c>
      <c r="P156" s="3">
        <v>0</v>
      </c>
      <c r="Q156" s="3">
        <v>0</v>
      </c>
      <c r="R156" s="3">
        <v>0</v>
      </c>
      <c r="S156" s="3">
        <v>0</v>
      </c>
      <c r="T156" s="3">
        <v>357</v>
      </c>
      <c r="U156" s="3">
        <v>0</v>
      </c>
      <c r="V156" s="3">
        <v>0</v>
      </c>
      <c r="W156" s="3">
        <v>0</v>
      </c>
      <c r="X156" s="3">
        <v>0</v>
      </c>
      <c r="Y156" s="3">
        <v>0</v>
      </c>
      <c r="Z156" s="3">
        <v>0</v>
      </c>
      <c r="AA156" s="3">
        <v>1</v>
      </c>
      <c r="AB156" s="3">
        <v>0</v>
      </c>
      <c r="AC156" s="3">
        <v>0</v>
      </c>
      <c r="AD156" s="3">
        <v>0</v>
      </c>
      <c r="AE156" s="3">
        <v>0</v>
      </c>
      <c r="AF156" s="3">
        <v>0</v>
      </c>
      <c r="AG156" s="3">
        <v>0</v>
      </c>
      <c r="AH156" s="3">
        <v>0</v>
      </c>
      <c r="AI156" s="3">
        <v>0</v>
      </c>
      <c r="AJ156" s="3">
        <v>0</v>
      </c>
      <c r="AK156" s="3">
        <v>0</v>
      </c>
      <c r="AL156" s="3">
        <v>0</v>
      </c>
      <c r="AM156" s="3">
        <v>1</v>
      </c>
      <c r="AN156" s="3" t="s">
        <v>55</v>
      </c>
      <c r="AO156" s="3" t="s">
        <v>55</v>
      </c>
      <c r="AP156" s="3">
        <v>4.7826086956521699E-2</v>
      </c>
      <c r="AQ156" s="3"/>
      <c r="AR156" s="3"/>
      <c r="AS156" s="3"/>
      <c r="AT156" s="3"/>
      <c r="AU156" s="3"/>
      <c r="AV156" s="3"/>
      <c r="AW156" s="6"/>
      <c r="AX156" s="6"/>
    </row>
    <row r="157" spans="1:50" ht="140" hidden="1" x14ac:dyDescent="0.2">
      <c r="A157" s="3" t="s">
        <v>593</v>
      </c>
      <c r="B157" s="3" t="s">
        <v>70</v>
      </c>
      <c r="C157" s="3">
        <v>65547475</v>
      </c>
      <c r="D157" s="3" t="s">
        <v>71</v>
      </c>
      <c r="E157" s="3" t="s">
        <v>45</v>
      </c>
      <c r="F157" s="3" t="s">
        <v>59</v>
      </c>
      <c r="G157" s="3" t="s">
        <v>59</v>
      </c>
      <c r="H157" s="3" t="s">
        <v>382</v>
      </c>
      <c r="I157" s="3" t="s">
        <v>519</v>
      </c>
      <c r="J157" s="20" t="s">
        <v>591</v>
      </c>
      <c r="K157" s="3">
        <v>2.1739130434782601E-2</v>
      </c>
      <c r="L157" s="3">
        <v>322</v>
      </c>
      <c r="M157" s="3">
        <v>1.3288871357330301</v>
      </c>
      <c r="N157" s="20" t="s">
        <v>592</v>
      </c>
      <c r="O157" s="3">
        <v>0</v>
      </c>
      <c r="P157" s="3">
        <v>0</v>
      </c>
      <c r="Q157" s="3">
        <v>0</v>
      </c>
      <c r="R157" s="3">
        <v>0</v>
      </c>
      <c r="S157" s="3">
        <v>0</v>
      </c>
      <c r="T157" s="3">
        <v>346</v>
      </c>
      <c r="U157" s="3">
        <v>0</v>
      </c>
      <c r="V157" s="3">
        <v>0</v>
      </c>
      <c r="W157" s="3">
        <v>11</v>
      </c>
      <c r="X157" s="3">
        <v>0</v>
      </c>
      <c r="Y157" s="3">
        <v>0</v>
      </c>
      <c r="Z157" s="3">
        <v>3.0812324929972001E-2</v>
      </c>
      <c r="AA157" s="3">
        <v>0.96918767507002801</v>
      </c>
      <c r="AB157" s="3">
        <v>0</v>
      </c>
      <c r="AC157" s="3">
        <v>0</v>
      </c>
      <c r="AD157" s="3">
        <v>0</v>
      </c>
      <c r="AE157" s="3">
        <v>0</v>
      </c>
      <c r="AF157" s="3">
        <v>0</v>
      </c>
      <c r="AG157" s="3">
        <v>0</v>
      </c>
      <c r="AH157" s="3">
        <v>0</v>
      </c>
      <c r="AI157" s="3">
        <v>0</v>
      </c>
      <c r="AJ157" s="3">
        <v>0</v>
      </c>
      <c r="AK157" s="3">
        <v>1.5406162464986E-2</v>
      </c>
      <c r="AL157" s="3">
        <v>0</v>
      </c>
      <c r="AM157" s="3">
        <v>0.98459383753501395</v>
      </c>
      <c r="AN157" s="3" t="s">
        <v>55</v>
      </c>
      <c r="AO157" s="3">
        <v>1.8181818181818198E-2</v>
      </c>
      <c r="AP157" s="3">
        <v>4.8874598070739503E-2</v>
      </c>
      <c r="AQ157" s="3" t="s">
        <v>751</v>
      </c>
      <c r="AR157" s="3" t="s">
        <v>752</v>
      </c>
      <c r="AS157" s="3" t="s">
        <v>913</v>
      </c>
      <c r="AT157" s="3"/>
      <c r="AU157" s="3"/>
      <c r="AV157" s="3"/>
      <c r="AW157" s="11" t="s">
        <v>753</v>
      </c>
      <c r="AX157" s="6" t="s">
        <v>754</v>
      </c>
    </row>
    <row r="158" spans="1:50" ht="56" hidden="1" x14ac:dyDescent="0.2">
      <c r="A158" s="3" t="s">
        <v>594</v>
      </c>
      <c r="B158" s="3" t="s">
        <v>70</v>
      </c>
      <c r="C158" s="3">
        <v>67144799</v>
      </c>
      <c r="D158" s="3" t="s">
        <v>58</v>
      </c>
      <c r="E158" s="3" t="s">
        <v>59</v>
      </c>
      <c r="F158" s="3" t="s">
        <v>46</v>
      </c>
      <c r="G158" s="3" t="s">
        <v>59</v>
      </c>
      <c r="H158" s="3" t="s">
        <v>382</v>
      </c>
      <c r="I158" s="3" t="s">
        <v>519</v>
      </c>
      <c r="J158" s="20" t="s">
        <v>595</v>
      </c>
      <c r="K158" s="3">
        <v>2.3291925465838501E-2</v>
      </c>
      <c r="L158" s="3">
        <v>322</v>
      </c>
      <c r="M158" s="3">
        <v>-8.5503512407780299E-2</v>
      </c>
      <c r="N158" s="20" t="s">
        <v>596</v>
      </c>
      <c r="O158" s="3">
        <v>0</v>
      </c>
      <c r="P158" s="3">
        <v>334</v>
      </c>
      <c r="Q158" s="3">
        <v>0</v>
      </c>
      <c r="R158" s="3">
        <v>0</v>
      </c>
      <c r="S158" s="3">
        <v>0</v>
      </c>
      <c r="T158" s="3">
        <v>0</v>
      </c>
      <c r="U158" s="3">
        <v>3</v>
      </c>
      <c r="V158" s="3">
        <v>20</v>
      </c>
      <c r="W158" s="3">
        <v>0</v>
      </c>
      <c r="X158" s="3">
        <v>0</v>
      </c>
      <c r="Y158" s="3">
        <v>0</v>
      </c>
      <c r="Z158" s="3">
        <v>0</v>
      </c>
      <c r="AA158" s="3">
        <v>0</v>
      </c>
      <c r="AB158" s="3">
        <v>8.4033613445378096E-3</v>
      </c>
      <c r="AC158" s="3">
        <v>0</v>
      </c>
      <c r="AD158" s="3">
        <v>0</v>
      </c>
      <c r="AE158" s="3">
        <v>0</v>
      </c>
      <c r="AF158" s="3">
        <v>0.93557422969187698</v>
      </c>
      <c r="AG158" s="3">
        <v>0</v>
      </c>
      <c r="AH158" s="3">
        <v>0</v>
      </c>
      <c r="AI158" s="3">
        <v>5.6022408963585402E-2</v>
      </c>
      <c r="AJ158" s="3">
        <v>0</v>
      </c>
      <c r="AK158" s="3">
        <v>3.64145658263305E-2</v>
      </c>
      <c r="AL158" s="3">
        <v>0.96358543417367004</v>
      </c>
      <c r="AM158" s="3">
        <v>0</v>
      </c>
      <c r="AN158" s="3">
        <v>0</v>
      </c>
      <c r="AO158" s="3">
        <v>3.8888888888888903E-2</v>
      </c>
      <c r="AP158" s="3">
        <v>4.8675496688741701E-2</v>
      </c>
      <c r="AQ158" s="3" t="s">
        <v>633</v>
      </c>
      <c r="AR158" s="3" t="s">
        <v>634</v>
      </c>
      <c r="AS158" s="3" t="s">
        <v>913</v>
      </c>
      <c r="AT158" s="3"/>
      <c r="AU158" s="3"/>
      <c r="AV158" s="3"/>
      <c r="AW158" s="10" t="s">
        <v>637</v>
      </c>
      <c r="AX158" s="6" t="s">
        <v>638</v>
      </c>
    </row>
    <row r="159" spans="1:50" hidden="1" x14ac:dyDescent="0.2">
      <c r="A159" s="3" t="s">
        <v>597</v>
      </c>
      <c r="B159" s="3" t="s">
        <v>108</v>
      </c>
      <c r="C159" s="3">
        <v>110712558</v>
      </c>
      <c r="D159" s="3" t="s">
        <v>71</v>
      </c>
      <c r="E159" s="3" t="s">
        <v>45</v>
      </c>
      <c r="F159" s="3" t="s">
        <v>59</v>
      </c>
      <c r="G159" s="3" t="s">
        <v>59</v>
      </c>
      <c r="H159" s="3" t="s">
        <v>382</v>
      </c>
      <c r="I159" s="3" t="s">
        <v>519</v>
      </c>
      <c r="J159" s="20" t="s">
        <v>598</v>
      </c>
      <c r="K159" s="3">
        <v>4.6583850931677401E-3</v>
      </c>
      <c r="L159" s="3">
        <v>322</v>
      </c>
      <c r="M159" s="3">
        <v>4.58500139920517E-2</v>
      </c>
      <c r="N159" s="3">
        <v>1.7092376192681099E-4</v>
      </c>
      <c r="O159" s="3">
        <v>0</v>
      </c>
      <c r="P159" s="3">
        <v>0</v>
      </c>
      <c r="Q159" s="3">
        <v>0</v>
      </c>
      <c r="R159" s="3">
        <v>0</v>
      </c>
      <c r="S159" s="3">
        <v>0</v>
      </c>
      <c r="T159" s="3">
        <v>271</v>
      </c>
      <c r="U159" s="3">
        <v>4</v>
      </c>
      <c r="V159" s="3">
        <v>0</v>
      </c>
      <c r="W159" s="3">
        <v>82</v>
      </c>
      <c r="X159" s="3">
        <v>0</v>
      </c>
      <c r="Y159" s="3">
        <v>0</v>
      </c>
      <c r="Z159" s="3">
        <v>0.22969187675069999</v>
      </c>
      <c r="AA159" s="3">
        <v>0.75910364145658304</v>
      </c>
      <c r="AB159" s="3">
        <v>1.1204481792717101E-2</v>
      </c>
      <c r="AC159" s="3">
        <v>0</v>
      </c>
      <c r="AD159" s="3">
        <v>0</v>
      </c>
      <c r="AE159" s="3">
        <v>0</v>
      </c>
      <c r="AF159" s="3">
        <v>0</v>
      </c>
      <c r="AG159" s="3">
        <v>0</v>
      </c>
      <c r="AH159" s="3">
        <v>0</v>
      </c>
      <c r="AI159" s="3">
        <v>0</v>
      </c>
      <c r="AJ159" s="3">
        <v>0</v>
      </c>
      <c r="AK159" s="3">
        <v>0.126050420168067</v>
      </c>
      <c r="AL159" s="3">
        <v>0</v>
      </c>
      <c r="AM159" s="3">
        <v>0.873949579831933</v>
      </c>
      <c r="AN159" s="3">
        <v>7.4999999999999997E-2</v>
      </c>
      <c r="AO159" s="3">
        <v>4.72972972972973E-2</v>
      </c>
      <c r="AP159" s="3">
        <v>4.7540983606557403E-2</v>
      </c>
      <c r="AQ159" s="3"/>
      <c r="AR159" s="3"/>
      <c r="AS159" s="3"/>
      <c r="AT159" s="3"/>
      <c r="AU159" s="3"/>
      <c r="AV159" s="3"/>
      <c r="AW159" s="6"/>
      <c r="AX159" s="6"/>
    </row>
    <row r="160" spans="1:50" hidden="1" x14ac:dyDescent="0.2">
      <c r="A160" s="3" t="s">
        <v>599</v>
      </c>
      <c r="B160" s="3" t="s">
        <v>198</v>
      </c>
      <c r="C160" s="3">
        <v>45545812</v>
      </c>
      <c r="D160" s="3" t="s">
        <v>52</v>
      </c>
      <c r="E160" s="3" t="s">
        <v>46</v>
      </c>
      <c r="F160" s="3" t="s">
        <v>53</v>
      </c>
      <c r="G160" s="3" t="s">
        <v>53</v>
      </c>
      <c r="H160" s="3" t="s">
        <v>382</v>
      </c>
      <c r="I160" s="3" t="s">
        <v>519</v>
      </c>
      <c r="J160" s="20" t="s">
        <v>600</v>
      </c>
      <c r="K160" s="3">
        <v>3.1055900621117499E-3</v>
      </c>
      <c r="L160" s="3">
        <v>322</v>
      </c>
      <c r="M160" s="3">
        <v>-0.27313004911911998</v>
      </c>
      <c r="N160" s="3">
        <v>6.2303225396212697E-4</v>
      </c>
      <c r="O160" s="3">
        <v>0</v>
      </c>
      <c r="P160" s="3">
        <v>326</v>
      </c>
      <c r="Q160" s="3">
        <v>31</v>
      </c>
      <c r="R160" s="3">
        <v>0</v>
      </c>
      <c r="S160" s="3">
        <v>0</v>
      </c>
      <c r="T160" s="3">
        <v>0</v>
      </c>
      <c r="U160" s="3">
        <v>0</v>
      </c>
      <c r="V160" s="3">
        <v>0</v>
      </c>
      <c r="W160" s="3">
        <v>0</v>
      </c>
      <c r="X160" s="3">
        <v>0</v>
      </c>
      <c r="Y160" s="3">
        <v>0</v>
      </c>
      <c r="Z160" s="3">
        <v>0</v>
      </c>
      <c r="AA160" s="3">
        <v>0</v>
      </c>
      <c r="AB160" s="3">
        <v>0</v>
      </c>
      <c r="AC160" s="3">
        <v>0</v>
      </c>
      <c r="AD160" s="3">
        <v>0</v>
      </c>
      <c r="AE160" s="3">
        <v>8.6834733893557406E-2</v>
      </c>
      <c r="AF160" s="3">
        <v>0.913165266106443</v>
      </c>
      <c r="AG160" s="3">
        <v>0</v>
      </c>
      <c r="AH160" s="3">
        <v>0</v>
      </c>
      <c r="AI160" s="3">
        <v>0</v>
      </c>
      <c r="AJ160" s="3">
        <v>4.3417366946778703E-2</v>
      </c>
      <c r="AK160" s="3">
        <v>0</v>
      </c>
      <c r="AL160" s="3">
        <v>0.956582633053221</v>
      </c>
      <c r="AM160" s="3">
        <v>0</v>
      </c>
      <c r="AN160" s="3" t="s">
        <v>55</v>
      </c>
      <c r="AO160" s="3">
        <v>4.0740740740740702E-2</v>
      </c>
      <c r="AP160" s="3">
        <v>4.8474576271186398E-2</v>
      </c>
      <c r="AQ160" s="3"/>
      <c r="AR160" s="3"/>
      <c r="AS160" s="3"/>
      <c r="AT160" s="3"/>
      <c r="AU160" s="3"/>
      <c r="AV160" s="3"/>
      <c r="AW160" s="6"/>
      <c r="AX160" s="6"/>
    </row>
    <row r="161" spans="1:50" hidden="1" x14ac:dyDescent="0.2">
      <c r="A161" s="3" t="s">
        <v>254</v>
      </c>
      <c r="B161" s="3" t="s">
        <v>70</v>
      </c>
      <c r="C161" s="3">
        <v>402885068</v>
      </c>
      <c r="D161" s="3" t="s">
        <v>71</v>
      </c>
      <c r="E161" s="3" t="s">
        <v>59</v>
      </c>
      <c r="F161" s="3" t="s">
        <v>45</v>
      </c>
      <c r="G161" s="3" t="s">
        <v>59</v>
      </c>
      <c r="H161" s="3" t="s">
        <v>255</v>
      </c>
      <c r="I161" s="3" t="s">
        <v>181</v>
      </c>
      <c r="J161" s="20" t="s">
        <v>256</v>
      </c>
      <c r="K161" s="3">
        <v>6.1576354679802901E-2</v>
      </c>
      <c r="L161" s="3">
        <v>406</v>
      </c>
      <c r="M161" s="3">
        <v>-1.5478423177422</v>
      </c>
      <c r="N161" s="3">
        <v>4.0098142655129298E-3</v>
      </c>
      <c r="O161" s="3">
        <v>0</v>
      </c>
      <c r="P161" s="3">
        <v>0</v>
      </c>
      <c r="Q161" s="3">
        <v>0</v>
      </c>
      <c r="R161" s="3">
        <v>0</v>
      </c>
      <c r="S161" s="3">
        <v>0</v>
      </c>
      <c r="T161" s="3">
        <v>264</v>
      </c>
      <c r="U161" s="3">
        <v>13</v>
      </c>
      <c r="V161" s="3">
        <v>0</v>
      </c>
      <c r="W161" s="3">
        <v>152</v>
      </c>
      <c r="X161" s="3">
        <v>0</v>
      </c>
      <c r="Y161" s="3">
        <v>0</v>
      </c>
      <c r="Z161" s="3">
        <v>0.35431235431235403</v>
      </c>
      <c r="AA161" s="3">
        <v>0.61538461538461497</v>
      </c>
      <c r="AB161" s="3">
        <v>3.03030303030303E-2</v>
      </c>
      <c r="AC161" s="3">
        <v>0</v>
      </c>
      <c r="AD161" s="3">
        <v>0</v>
      </c>
      <c r="AE161" s="3">
        <v>0</v>
      </c>
      <c r="AF161" s="3">
        <v>0</v>
      </c>
      <c r="AG161" s="3">
        <v>0</v>
      </c>
      <c r="AH161" s="3">
        <v>0</v>
      </c>
      <c r="AI161" s="3">
        <v>0</v>
      </c>
      <c r="AJ161" s="3">
        <v>0</v>
      </c>
      <c r="AK161" s="3">
        <v>0.20745920745920701</v>
      </c>
      <c r="AL161" s="3">
        <v>0</v>
      </c>
      <c r="AM161" s="3">
        <v>0.79254079254079302</v>
      </c>
      <c r="AN161" s="3">
        <v>3.3846153846153801</v>
      </c>
      <c r="AO161" s="3">
        <v>2.6595744680851099</v>
      </c>
      <c r="AP161" s="3">
        <v>2.5634920634920602</v>
      </c>
      <c r="AQ161" s="3" t="s">
        <v>755</v>
      </c>
      <c r="AR161" s="3" t="s">
        <v>643</v>
      </c>
      <c r="AS161" s="3" t="s">
        <v>913</v>
      </c>
      <c r="AT161" s="3"/>
      <c r="AU161" s="3"/>
      <c r="AV161" s="3"/>
      <c r="AW161" s="6"/>
      <c r="AX161" s="6"/>
    </row>
    <row r="162" spans="1:50" ht="56" hidden="1" x14ac:dyDescent="0.2">
      <c r="A162" s="3" t="s">
        <v>468</v>
      </c>
      <c r="B162" s="3" t="s">
        <v>120</v>
      </c>
      <c r="C162" s="3">
        <v>132350274</v>
      </c>
      <c r="D162" s="3" t="s">
        <v>260</v>
      </c>
      <c r="E162" s="3" t="s">
        <v>53</v>
      </c>
      <c r="F162" s="3" t="s">
        <v>59</v>
      </c>
      <c r="G162" s="3" t="s">
        <v>59</v>
      </c>
      <c r="H162" s="3" t="s">
        <v>255</v>
      </c>
      <c r="I162" s="3" t="s">
        <v>432</v>
      </c>
      <c r="J162" s="20" t="s">
        <v>469</v>
      </c>
      <c r="K162" s="3">
        <v>2.1241830065359499E-2</v>
      </c>
      <c r="L162" s="3">
        <v>306</v>
      </c>
      <c r="M162" s="3">
        <v>-1.71448384487631</v>
      </c>
      <c r="N162" s="20" t="s">
        <v>470</v>
      </c>
      <c r="O162" s="3">
        <v>0</v>
      </c>
      <c r="P162" s="3">
        <v>0</v>
      </c>
      <c r="Q162" s="3">
        <v>0</v>
      </c>
      <c r="R162" s="3">
        <v>213</v>
      </c>
      <c r="S162" s="3">
        <v>0</v>
      </c>
      <c r="T162" s="3">
        <v>0</v>
      </c>
      <c r="U162" s="3">
        <v>0</v>
      </c>
      <c r="V162" s="3">
        <v>0</v>
      </c>
      <c r="W162" s="3">
        <v>0</v>
      </c>
      <c r="X162" s="3">
        <v>144</v>
      </c>
      <c r="Y162" s="3">
        <v>0</v>
      </c>
      <c r="Z162" s="3">
        <v>0</v>
      </c>
      <c r="AA162" s="3">
        <v>0</v>
      </c>
      <c r="AB162" s="3">
        <v>0</v>
      </c>
      <c r="AC162" s="3">
        <v>0.40336134453781503</v>
      </c>
      <c r="AD162" s="3">
        <v>0.59663865546218497</v>
      </c>
      <c r="AE162" s="3">
        <v>0</v>
      </c>
      <c r="AF162" s="3">
        <v>0</v>
      </c>
      <c r="AG162" s="3">
        <v>0</v>
      </c>
      <c r="AH162" s="3">
        <v>0</v>
      </c>
      <c r="AI162" s="3">
        <v>0</v>
      </c>
      <c r="AJ162" s="3">
        <v>0.79831932773109204</v>
      </c>
      <c r="AK162" s="3">
        <v>0.20168067226890801</v>
      </c>
      <c r="AL162" s="3">
        <v>0</v>
      </c>
      <c r="AM162" s="3">
        <v>0</v>
      </c>
      <c r="AN162" s="3" t="s">
        <v>55</v>
      </c>
      <c r="AO162" s="3">
        <v>0.90243902439024404</v>
      </c>
      <c r="AP162" s="3">
        <v>0.83060109289617501</v>
      </c>
      <c r="AQ162" s="3" t="s">
        <v>758</v>
      </c>
      <c r="AR162" s="3" t="s">
        <v>759</v>
      </c>
      <c r="AS162" s="3" t="s">
        <v>913</v>
      </c>
      <c r="AT162" s="3"/>
      <c r="AU162" s="3"/>
      <c r="AV162" s="3"/>
      <c r="AW162" s="18" t="s">
        <v>760</v>
      </c>
      <c r="AX162" s="6" t="s">
        <v>761</v>
      </c>
    </row>
    <row r="163" spans="1:50" hidden="1" x14ac:dyDescent="0.2">
      <c r="A163" s="3" t="s">
        <v>481</v>
      </c>
      <c r="B163" s="3" t="s">
        <v>224</v>
      </c>
      <c r="C163" s="3">
        <v>373045769</v>
      </c>
      <c r="D163" s="3" t="s">
        <v>58</v>
      </c>
      <c r="E163" s="3" t="s">
        <v>46</v>
      </c>
      <c r="F163" s="3" t="s">
        <v>59</v>
      </c>
      <c r="G163" s="3" t="s">
        <v>59</v>
      </c>
      <c r="H163" s="3" t="s">
        <v>255</v>
      </c>
      <c r="I163" s="3" t="s">
        <v>432</v>
      </c>
      <c r="J163" s="20" t="s">
        <v>482</v>
      </c>
      <c r="K163" s="3">
        <v>1.63398692810457E-3</v>
      </c>
      <c r="L163" s="3">
        <v>306</v>
      </c>
      <c r="M163" s="3">
        <v>-19.8380906240515</v>
      </c>
      <c r="N163" s="20" t="s">
        <v>483</v>
      </c>
      <c r="O163" s="3">
        <v>0</v>
      </c>
      <c r="P163" s="3">
        <v>325</v>
      </c>
      <c r="Q163" s="3">
        <v>0</v>
      </c>
      <c r="R163" s="3">
        <v>0</v>
      </c>
      <c r="S163" s="3">
        <v>0</v>
      </c>
      <c r="T163" s="3">
        <v>0</v>
      </c>
      <c r="U163" s="3">
        <v>1</v>
      </c>
      <c r="V163" s="3">
        <v>31</v>
      </c>
      <c r="W163" s="3">
        <v>0</v>
      </c>
      <c r="X163" s="3">
        <v>0</v>
      </c>
      <c r="Y163" s="3">
        <v>0</v>
      </c>
      <c r="Z163" s="3">
        <v>0</v>
      </c>
      <c r="AA163" s="3">
        <v>0</v>
      </c>
      <c r="AB163" s="3">
        <v>2.80112044817927E-3</v>
      </c>
      <c r="AC163" s="3">
        <v>0</v>
      </c>
      <c r="AD163" s="3">
        <v>0</v>
      </c>
      <c r="AE163" s="3">
        <v>0</v>
      </c>
      <c r="AF163" s="3">
        <v>0.91036414565826296</v>
      </c>
      <c r="AG163" s="3">
        <v>0</v>
      </c>
      <c r="AH163" s="3">
        <v>0</v>
      </c>
      <c r="AI163" s="3">
        <v>8.6834733893557406E-2</v>
      </c>
      <c r="AJ163" s="3">
        <v>0</v>
      </c>
      <c r="AK163" s="3">
        <v>4.6218487394957999E-2</v>
      </c>
      <c r="AL163" s="3">
        <v>0.95378151260504196</v>
      </c>
      <c r="AM163" s="3">
        <v>0</v>
      </c>
      <c r="AN163" s="3">
        <v>0</v>
      </c>
      <c r="AO163" s="3">
        <v>1.44444444444444</v>
      </c>
      <c r="AP163" s="3">
        <v>0.805755395683453</v>
      </c>
      <c r="AQ163" s="3"/>
      <c r="AR163" s="3"/>
      <c r="AS163" s="3"/>
      <c r="AT163" s="3"/>
      <c r="AU163" s="3"/>
      <c r="AV163" s="3"/>
      <c r="AW163" s="6"/>
      <c r="AX163" s="6"/>
    </row>
    <row r="164" spans="1:50" hidden="1" x14ac:dyDescent="0.2">
      <c r="A164" s="3" t="s">
        <v>489</v>
      </c>
      <c r="B164" s="3" t="s">
        <v>105</v>
      </c>
      <c r="C164" s="3">
        <v>273159799</v>
      </c>
      <c r="D164" s="3" t="s">
        <v>71</v>
      </c>
      <c r="E164" s="3" t="s">
        <v>45</v>
      </c>
      <c r="F164" s="3" t="s">
        <v>59</v>
      </c>
      <c r="G164" s="3" t="s">
        <v>59</v>
      </c>
      <c r="H164" s="3" t="s">
        <v>255</v>
      </c>
      <c r="I164" s="3" t="s">
        <v>432</v>
      </c>
      <c r="J164" s="20" t="s">
        <v>490</v>
      </c>
      <c r="K164" s="3">
        <v>9.8039215686274196E-3</v>
      </c>
      <c r="L164" s="3">
        <v>306</v>
      </c>
      <c r="M164" s="3">
        <v>-1.3955084100663799</v>
      </c>
      <c r="N164" s="20" t="s">
        <v>491</v>
      </c>
      <c r="O164" s="3">
        <v>0</v>
      </c>
      <c r="P164" s="3">
        <v>0</v>
      </c>
      <c r="Q164" s="3">
        <v>0</v>
      </c>
      <c r="R164" s="3">
        <v>0</v>
      </c>
      <c r="S164" s="3">
        <v>0</v>
      </c>
      <c r="T164" s="3">
        <v>353</v>
      </c>
      <c r="U164" s="3">
        <v>0</v>
      </c>
      <c r="V164" s="3">
        <v>0</v>
      </c>
      <c r="W164" s="3">
        <v>4</v>
      </c>
      <c r="X164" s="3">
        <v>0</v>
      </c>
      <c r="Y164" s="3">
        <v>0</v>
      </c>
      <c r="Z164" s="3">
        <v>1.1204481792717101E-2</v>
      </c>
      <c r="AA164" s="3">
        <v>0.98879551820728295</v>
      </c>
      <c r="AB164" s="3">
        <v>0</v>
      </c>
      <c r="AC164" s="3">
        <v>0</v>
      </c>
      <c r="AD164" s="3">
        <v>0</v>
      </c>
      <c r="AE164" s="3">
        <v>0</v>
      </c>
      <c r="AF164" s="3">
        <v>0</v>
      </c>
      <c r="AG164" s="3">
        <v>0</v>
      </c>
      <c r="AH164" s="3">
        <v>0</v>
      </c>
      <c r="AI164" s="3">
        <v>0</v>
      </c>
      <c r="AJ164" s="3">
        <v>0</v>
      </c>
      <c r="AK164" s="3">
        <v>5.60224089635854E-3</v>
      </c>
      <c r="AL164" s="3">
        <v>0</v>
      </c>
      <c r="AM164" s="3">
        <v>0.99439775910364103</v>
      </c>
      <c r="AN164" s="3" t="s">
        <v>55</v>
      </c>
      <c r="AO164" s="3">
        <v>0.5</v>
      </c>
      <c r="AP164" s="3">
        <v>0.86423841059602602</v>
      </c>
      <c r="AQ164" s="3"/>
      <c r="AR164" s="3"/>
      <c r="AS164" s="3"/>
      <c r="AT164" s="3"/>
      <c r="AU164" s="3"/>
      <c r="AV164" s="3"/>
      <c r="AW164" s="6"/>
      <c r="AX164" s="6"/>
    </row>
    <row r="165" spans="1:50" ht="126" hidden="1" x14ac:dyDescent="0.2">
      <c r="A165" s="3" t="s">
        <v>492</v>
      </c>
      <c r="B165" s="3" t="s">
        <v>105</v>
      </c>
      <c r="C165" s="3">
        <v>273449073</v>
      </c>
      <c r="D165" s="3" t="s">
        <v>156</v>
      </c>
      <c r="E165" s="3" t="s">
        <v>53</v>
      </c>
      <c r="F165" s="3" t="s">
        <v>59</v>
      </c>
      <c r="G165" s="3" t="s">
        <v>53</v>
      </c>
      <c r="H165" s="3" t="s">
        <v>255</v>
      </c>
      <c r="I165" s="3" t="s">
        <v>432</v>
      </c>
      <c r="J165" s="20" t="s">
        <v>493</v>
      </c>
      <c r="K165" s="3">
        <v>6.53594771241828E-3</v>
      </c>
      <c r="L165" s="3">
        <v>306</v>
      </c>
      <c r="M165" s="3">
        <v>7.6846240947191999</v>
      </c>
      <c r="N165" s="3">
        <v>1.4674515431360399E-4</v>
      </c>
      <c r="O165" s="3">
        <v>0</v>
      </c>
      <c r="P165" s="3">
        <v>0</v>
      </c>
      <c r="Q165" s="3">
        <v>0</v>
      </c>
      <c r="R165" s="3">
        <v>0</v>
      </c>
      <c r="S165" s="3">
        <v>0</v>
      </c>
      <c r="T165" s="3">
        <v>0</v>
      </c>
      <c r="U165" s="3">
        <v>354</v>
      </c>
      <c r="V165" s="3">
        <v>0</v>
      </c>
      <c r="W165" s="3">
        <v>0</v>
      </c>
      <c r="X165" s="3">
        <v>3</v>
      </c>
      <c r="Y165" s="3">
        <v>0</v>
      </c>
      <c r="Z165" s="3">
        <v>0</v>
      </c>
      <c r="AA165" s="3">
        <v>0</v>
      </c>
      <c r="AB165" s="3">
        <v>0.99159663865546199</v>
      </c>
      <c r="AC165" s="3">
        <v>8.4033613445378096E-3</v>
      </c>
      <c r="AD165" s="3">
        <v>0</v>
      </c>
      <c r="AE165" s="3">
        <v>0</v>
      </c>
      <c r="AF165" s="3">
        <v>0</v>
      </c>
      <c r="AG165" s="3">
        <v>0</v>
      </c>
      <c r="AH165" s="3">
        <v>0</v>
      </c>
      <c r="AI165" s="3">
        <v>0</v>
      </c>
      <c r="AJ165" s="3">
        <v>4.20168067226891E-3</v>
      </c>
      <c r="AK165" s="3">
        <v>0.995798319327731</v>
      </c>
      <c r="AL165" s="3">
        <v>0</v>
      </c>
      <c r="AM165" s="3">
        <v>0</v>
      </c>
      <c r="AN165" s="3" t="s">
        <v>55</v>
      </c>
      <c r="AO165" s="3">
        <v>2.5</v>
      </c>
      <c r="AP165" s="3">
        <v>0.84868421052631604</v>
      </c>
      <c r="AQ165" s="3" t="s">
        <v>914</v>
      </c>
      <c r="AR165" s="3"/>
      <c r="AS165" s="3" t="s">
        <v>777</v>
      </c>
      <c r="AT165" s="3" t="s">
        <v>778</v>
      </c>
      <c r="AU165" s="4">
        <v>1</v>
      </c>
      <c r="AV165" s="5">
        <v>0.93030000000000002</v>
      </c>
      <c r="AW165" s="19" t="s">
        <v>779</v>
      </c>
      <c r="AX165" s="6" t="s">
        <v>926</v>
      </c>
    </row>
    <row r="166" spans="1:50" hidden="1" x14ac:dyDescent="0.2">
      <c r="A166" s="3" t="s">
        <v>496</v>
      </c>
      <c r="B166" s="3" t="s">
        <v>70</v>
      </c>
      <c r="C166" s="3">
        <v>352709134</v>
      </c>
      <c r="D166" s="3" t="s">
        <v>52</v>
      </c>
      <c r="E166" s="3" t="s">
        <v>46</v>
      </c>
      <c r="F166" s="3" t="s">
        <v>53</v>
      </c>
      <c r="G166" s="3" t="s">
        <v>53</v>
      </c>
      <c r="H166" s="3" t="s">
        <v>255</v>
      </c>
      <c r="I166" s="3" t="s">
        <v>432</v>
      </c>
      <c r="J166" s="20" t="s">
        <v>497</v>
      </c>
      <c r="K166" s="3">
        <v>8.1699346405228503E-3</v>
      </c>
      <c r="L166" s="3">
        <v>306</v>
      </c>
      <c r="M166" s="3">
        <v>0.20448744459600801</v>
      </c>
      <c r="N166" s="3">
        <v>1.4674515431360399E-4</v>
      </c>
      <c r="O166" s="3">
        <v>0</v>
      </c>
      <c r="P166" s="3">
        <v>291</v>
      </c>
      <c r="Q166" s="3">
        <v>48</v>
      </c>
      <c r="R166" s="3">
        <v>18</v>
      </c>
      <c r="S166" s="3">
        <v>0</v>
      </c>
      <c r="T166" s="3">
        <v>0</v>
      </c>
      <c r="U166" s="3">
        <v>0</v>
      </c>
      <c r="V166" s="3">
        <v>0</v>
      </c>
      <c r="W166" s="3">
        <v>0</v>
      </c>
      <c r="X166" s="3">
        <v>0</v>
      </c>
      <c r="Y166" s="3">
        <v>0</v>
      </c>
      <c r="Z166" s="3">
        <v>0</v>
      </c>
      <c r="AA166" s="3">
        <v>0</v>
      </c>
      <c r="AB166" s="3">
        <v>0</v>
      </c>
      <c r="AC166" s="3">
        <v>0</v>
      </c>
      <c r="AD166" s="3">
        <v>5.0420168067226899E-2</v>
      </c>
      <c r="AE166" s="3">
        <v>0.13445378151260501</v>
      </c>
      <c r="AF166" s="3">
        <v>0.81512605042016795</v>
      </c>
      <c r="AG166" s="3">
        <v>0</v>
      </c>
      <c r="AH166" s="3">
        <v>0</v>
      </c>
      <c r="AI166" s="3">
        <v>0</v>
      </c>
      <c r="AJ166" s="3">
        <v>0.11764705882352899</v>
      </c>
      <c r="AK166" s="3">
        <v>0</v>
      </c>
      <c r="AL166" s="3">
        <v>0.88235294117647001</v>
      </c>
      <c r="AM166" s="3">
        <v>0</v>
      </c>
      <c r="AN166" s="3">
        <v>0.29411764705882398</v>
      </c>
      <c r="AO166" s="3">
        <v>0.73809523809523803</v>
      </c>
      <c r="AP166" s="3">
        <v>0.91902834008097201</v>
      </c>
      <c r="AQ166" s="3" t="s">
        <v>936</v>
      </c>
      <c r="AR166" s="3" t="s">
        <v>937</v>
      </c>
      <c r="AS166" s="3" t="s">
        <v>938</v>
      </c>
      <c r="AT166" s="3" t="s">
        <v>939</v>
      </c>
      <c r="AU166" s="4">
        <v>1</v>
      </c>
      <c r="AV166" s="5">
        <v>0.96020000000000005</v>
      </c>
      <c r="AW166" s="6" t="s">
        <v>940</v>
      </c>
      <c r="AX166" s="6"/>
    </row>
    <row r="167" spans="1:50" hidden="1" x14ac:dyDescent="0.2">
      <c r="A167" s="3" t="s">
        <v>505</v>
      </c>
      <c r="B167" s="3" t="s">
        <v>113</v>
      </c>
      <c r="C167" s="3">
        <v>13367865</v>
      </c>
      <c r="D167" s="3" t="s">
        <v>58</v>
      </c>
      <c r="E167" s="3" t="s">
        <v>59</v>
      </c>
      <c r="F167" s="3" t="s">
        <v>46</v>
      </c>
      <c r="G167" s="3" t="s">
        <v>59</v>
      </c>
      <c r="H167" s="3" t="s">
        <v>255</v>
      </c>
      <c r="I167" s="3" t="s">
        <v>432</v>
      </c>
      <c r="J167" s="20" t="s">
        <v>506</v>
      </c>
      <c r="K167" s="3">
        <v>1.47058823529411E-2</v>
      </c>
      <c r="L167" s="3">
        <v>306</v>
      </c>
      <c r="M167" s="3">
        <v>-2.16117554081994</v>
      </c>
      <c r="N167" s="3">
        <v>3.4035538533352602E-4</v>
      </c>
      <c r="O167" s="3">
        <v>0</v>
      </c>
      <c r="P167" s="3">
        <v>247</v>
      </c>
      <c r="Q167" s="3">
        <v>0</v>
      </c>
      <c r="R167" s="3">
        <v>0</v>
      </c>
      <c r="S167" s="3">
        <v>0</v>
      </c>
      <c r="T167" s="3">
        <v>0</v>
      </c>
      <c r="U167" s="3">
        <v>19</v>
      </c>
      <c r="V167" s="3">
        <v>91</v>
      </c>
      <c r="W167" s="3">
        <v>0</v>
      </c>
      <c r="X167" s="3">
        <v>0</v>
      </c>
      <c r="Y167" s="3">
        <v>0</v>
      </c>
      <c r="Z167" s="3">
        <v>0</v>
      </c>
      <c r="AA167" s="3">
        <v>0</v>
      </c>
      <c r="AB167" s="3">
        <v>5.3221288515406202E-2</v>
      </c>
      <c r="AC167" s="3">
        <v>0</v>
      </c>
      <c r="AD167" s="3">
        <v>0</v>
      </c>
      <c r="AE167" s="3">
        <v>0</v>
      </c>
      <c r="AF167" s="3">
        <v>0.69187675070027999</v>
      </c>
      <c r="AG167" s="3">
        <v>0</v>
      </c>
      <c r="AH167" s="3">
        <v>0</v>
      </c>
      <c r="AI167" s="3">
        <v>0.25490196078431399</v>
      </c>
      <c r="AJ167" s="3">
        <v>0</v>
      </c>
      <c r="AK167" s="3">
        <v>0.18067226890756299</v>
      </c>
      <c r="AL167" s="3">
        <v>0.81932773109243695</v>
      </c>
      <c r="AM167" s="3">
        <v>0</v>
      </c>
      <c r="AN167" s="3">
        <v>1.6666666666666701</v>
      </c>
      <c r="AO167" s="3">
        <v>0.506329113924051</v>
      </c>
      <c r="AP167" s="3">
        <v>0.93396226415094297</v>
      </c>
      <c r="AQ167" s="3"/>
      <c r="AR167" s="3"/>
      <c r="AS167" s="3"/>
      <c r="AT167" s="3"/>
      <c r="AU167" s="3"/>
      <c r="AV167" s="3"/>
      <c r="AW167" s="6"/>
      <c r="AX167" s="6"/>
    </row>
    <row r="168" spans="1:50" ht="84" hidden="1" x14ac:dyDescent="0.2">
      <c r="A168" s="3" t="s">
        <v>119</v>
      </c>
      <c r="B168" s="3" t="s">
        <v>120</v>
      </c>
      <c r="C168" s="3">
        <v>468911509</v>
      </c>
      <c r="D168" s="3" t="s">
        <v>44</v>
      </c>
      <c r="E168" s="3" t="s">
        <v>45</v>
      </c>
      <c r="F168" s="3" t="s">
        <v>46</v>
      </c>
      <c r="G168" s="3" t="s">
        <v>46</v>
      </c>
      <c r="H168" s="3" t="s">
        <v>117</v>
      </c>
      <c r="I168" s="3" t="s">
        <v>48</v>
      </c>
      <c r="J168" s="20" t="s">
        <v>121</v>
      </c>
      <c r="K168" s="3">
        <v>8.1145584725536998E-2</v>
      </c>
      <c r="L168" s="3">
        <v>419</v>
      </c>
      <c r="M168" s="3">
        <v>-0.123244878992089</v>
      </c>
      <c r="N168" s="3">
        <v>7.6944046747854896E-4</v>
      </c>
      <c r="O168" s="3">
        <v>0</v>
      </c>
      <c r="P168" s="3">
        <v>8</v>
      </c>
      <c r="Q168" s="3">
        <v>0</v>
      </c>
      <c r="R168" s="3">
        <v>0</v>
      </c>
      <c r="S168" s="3">
        <v>161</v>
      </c>
      <c r="T168" s="3">
        <v>260</v>
      </c>
      <c r="U168" s="3">
        <v>0</v>
      </c>
      <c r="V168" s="3">
        <v>0</v>
      </c>
      <c r="W168" s="3">
        <v>0</v>
      </c>
      <c r="X168" s="3">
        <v>0</v>
      </c>
      <c r="Y168" s="3">
        <v>0</v>
      </c>
      <c r="Z168" s="3">
        <v>0</v>
      </c>
      <c r="AA168" s="3">
        <v>0.60606060606060597</v>
      </c>
      <c r="AB168" s="3">
        <v>0</v>
      </c>
      <c r="AC168" s="3">
        <v>0</v>
      </c>
      <c r="AD168" s="3">
        <v>0</v>
      </c>
      <c r="AE168" s="3">
        <v>0</v>
      </c>
      <c r="AF168" s="3">
        <v>1.8648018648018599E-2</v>
      </c>
      <c r="AG168" s="3">
        <v>0.37529137529137502</v>
      </c>
      <c r="AH168" s="3">
        <v>0</v>
      </c>
      <c r="AI168" s="3">
        <v>0</v>
      </c>
      <c r="AJ168" s="3">
        <v>0</v>
      </c>
      <c r="AK168" s="3">
        <v>0</v>
      </c>
      <c r="AL168" s="3">
        <v>0.206293706293706</v>
      </c>
      <c r="AM168" s="3">
        <v>0.79370629370629397</v>
      </c>
      <c r="AN168" s="3">
        <v>0.22857142857142901</v>
      </c>
      <c r="AO168" s="3">
        <v>0.156209150326797</v>
      </c>
      <c r="AP168" s="3">
        <v>0.120849420849421</v>
      </c>
      <c r="AQ168" s="3" t="s">
        <v>784</v>
      </c>
      <c r="AR168" s="3" t="s">
        <v>785</v>
      </c>
      <c r="AS168" s="3" t="s">
        <v>786</v>
      </c>
      <c r="AT168" s="3" t="s">
        <v>636</v>
      </c>
      <c r="AU168" s="4">
        <v>1</v>
      </c>
      <c r="AV168" s="5">
        <v>0.97009999999999996</v>
      </c>
      <c r="AW168" s="10" t="s">
        <v>787</v>
      </c>
      <c r="AX168" s="6" t="s">
        <v>927</v>
      </c>
    </row>
    <row r="169" spans="1:50" ht="140" hidden="1" x14ac:dyDescent="0.2">
      <c r="A169" s="3" t="s">
        <v>200</v>
      </c>
      <c r="B169" s="3" t="s">
        <v>43</v>
      </c>
      <c r="C169" s="3">
        <v>222837735</v>
      </c>
      <c r="D169" s="3" t="s">
        <v>71</v>
      </c>
      <c r="E169" s="3" t="s">
        <v>45</v>
      </c>
      <c r="F169" s="3" t="s">
        <v>59</v>
      </c>
      <c r="G169" s="3" t="s">
        <v>59</v>
      </c>
      <c r="H169" s="3" t="s">
        <v>117</v>
      </c>
      <c r="I169" s="3" t="s">
        <v>181</v>
      </c>
      <c r="J169" s="20" t="s">
        <v>201</v>
      </c>
      <c r="K169" s="3">
        <v>5.7783018867924502E-2</v>
      </c>
      <c r="L169" s="3">
        <v>424</v>
      </c>
      <c r="M169" s="3">
        <v>-1.19237874382598E-2</v>
      </c>
      <c r="N169" s="3">
        <v>4.2395851597561299E-3</v>
      </c>
      <c r="O169" s="3">
        <v>0</v>
      </c>
      <c r="P169" s="3">
        <v>0</v>
      </c>
      <c r="Q169" s="3">
        <v>0</v>
      </c>
      <c r="R169" s="3">
        <v>0</v>
      </c>
      <c r="S169" s="3">
        <v>0</v>
      </c>
      <c r="T169" s="3">
        <v>380</v>
      </c>
      <c r="U169" s="3">
        <v>1</v>
      </c>
      <c r="V169" s="3">
        <v>0</v>
      </c>
      <c r="W169" s="3">
        <v>48</v>
      </c>
      <c r="X169" s="3">
        <v>0</v>
      </c>
      <c r="Y169" s="3">
        <v>0</v>
      </c>
      <c r="Z169" s="3">
        <v>0.111888111888112</v>
      </c>
      <c r="AA169" s="3">
        <v>0.88578088578088598</v>
      </c>
      <c r="AB169" s="3">
        <v>2.3310023310023301E-3</v>
      </c>
      <c r="AC169" s="3">
        <v>0</v>
      </c>
      <c r="AD169" s="3">
        <v>0</v>
      </c>
      <c r="AE169" s="3">
        <v>0</v>
      </c>
      <c r="AF169" s="3">
        <v>0</v>
      </c>
      <c r="AG169" s="3">
        <v>0</v>
      </c>
      <c r="AH169" s="3">
        <v>0</v>
      </c>
      <c r="AI169" s="3">
        <v>0</v>
      </c>
      <c r="AJ169" s="3">
        <v>0</v>
      </c>
      <c r="AK169" s="3">
        <v>5.82750582750583E-2</v>
      </c>
      <c r="AL169" s="3">
        <v>0</v>
      </c>
      <c r="AM169" s="3">
        <v>0.94172494172494203</v>
      </c>
      <c r="AN169" s="3">
        <v>0.21742857139999999</v>
      </c>
      <c r="AO169" s="3">
        <v>0.19587837500425501</v>
      </c>
      <c r="AP169" s="3">
        <v>0.18356941788377701</v>
      </c>
      <c r="AQ169" s="3" t="s">
        <v>793</v>
      </c>
      <c r="AR169" s="3" t="s">
        <v>794</v>
      </c>
      <c r="AS169" s="3" t="s">
        <v>913</v>
      </c>
      <c r="AT169" s="3"/>
      <c r="AU169" s="3"/>
      <c r="AV169" s="3"/>
      <c r="AW169" s="15" t="s">
        <v>795</v>
      </c>
      <c r="AX169" s="6" t="s">
        <v>928</v>
      </c>
    </row>
    <row r="170" spans="1:50" hidden="1" x14ac:dyDescent="0.2">
      <c r="A170" s="3" t="s">
        <v>204</v>
      </c>
      <c r="B170" s="3" t="s">
        <v>152</v>
      </c>
      <c r="C170" s="3">
        <v>558194717</v>
      </c>
      <c r="D170" s="3" t="s">
        <v>139</v>
      </c>
      <c r="E170" s="3" t="s">
        <v>46</v>
      </c>
      <c r="F170" s="3" t="s">
        <v>45</v>
      </c>
      <c r="G170" s="3" t="s">
        <v>45</v>
      </c>
      <c r="H170" s="3" t="s">
        <v>117</v>
      </c>
      <c r="I170" s="3" t="s">
        <v>181</v>
      </c>
      <c r="J170" s="20" t="s">
        <v>205</v>
      </c>
      <c r="K170" s="3">
        <v>1.1792452830188299E-3</v>
      </c>
      <c r="L170" s="3">
        <v>424</v>
      </c>
      <c r="M170" s="3">
        <v>-0.46292510729568898</v>
      </c>
      <c r="N170" s="20" t="s">
        <v>206</v>
      </c>
      <c r="O170" s="3">
        <v>0</v>
      </c>
      <c r="P170" s="3">
        <v>333</v>
      </c>
      <c r="Q170" s="3">
        <v>0</v>
      </c>
      <c r="R170" s="3">
        <v>0</v>
      </c>
      <c r="S170" s="3">
        <v>66</v>
      </c>
      <c r="T170" s="3">
        <v>30</v>
      </c>
      <c r="U170" s="3">
        <v>0</v>
      </c>
      <c r="V170" s="3">
        <v>0</v>
      </c>
      <c r="W170" s="3">
        <v>0</v>
      </c>
      <c r="X170" s="3">
        <v>0</v>
      </c>
      <c r="Y170" s="3">
        <v>0</v>
      </c>
      <c r="Z170" s="3">
        <v>0</v>
      </c>
      <c r="AA170" s="3">
        <v>6.9930069930069894E-2</v>
      </c>
      <c r="AB170" s="3">
        <v>0</v>
      </c>
      <c r="AC170" s="3">
        <v>0</v>
      </c>
      <c r="AD170" s="3">
        <v>0</v>
      </c>
      <c r="AE170" s="3">
        <v>0</v>
      </c>
      <c r="AF170" s="3">
        <v>0.77622377622377603</v>
      </c>
      <c r="AG170" s="3">
        <v>0.15384615384615399</v>
      </c>
      <c r="AH170" s="3">
        <v>0</v>
      </c>
      <c r="AI170" s="3">
        <v>0</v>
      </c>
      <c r="AJ170" s="3">
        <v>0</v>
      </c>
      <c r="AK170" s="3">
        <v>0</v>
      </c>
      <c r="AL170" s="3">
        <v>0.85314685314685301</v>
      </c>
      <c r="AM170" s="3">
        <v>0.14685314685314699</v>
      </c>
      <c r="AN170" s="3">
        <v>0.18716958152666699</v>
      </c>
      <c r="AO170" s="3">
        <v>0.184034200681538</v>
      </c>
      <c r="AP170" s="3">
        <v>0.18501064690212801</v>
      </c>
      <c r="AQ170" s="3"/>
      <c r="AR170" s="3"/>
      <c r="AS170" s="3"/>
      <c r="AT170" s="3"/>
      <c r="AU170" s="3"/>
      <c r="AV170" s="3"/>
      <c r="AW170" s="6"/>
      <c r="AX170" s="6"/>
    </row>
    <row r="171" spans="1:50" hidden="1" x14ac:dyDescent="0.2">
      <c r="A171" s="3" t="s">
        <v>207</v>
      </c>
      <c r="B171" s="3" t="s">
        <v>160</v>
      </c>
      <c r="C171" s="3">
        <v>223162383</v>
      </c>
      <c r="D171" s="3" t="s">
        <v>71</v>
      </c>
      <c r="E171" s="3" t="s">
        <v>45</v>
      </c>
      <c r="F171" s="3" t="s">
        <v>59</v>
      </c>
      <c r="G171" s="3" t="s">
        <v>59</v>
      </c>
      <c r="H171" s="3" t="s">
        <v>117</v>
      </c>
      <c r="I171" s="3" t="s">
        <v>181</v>
      </c>
      <c r="J171" s="20" t="s">
        <v>208</v>
      </c>
      <c r="K171" s="3">
        <v>0.209905660377358</v>
      </c>
      <c r="L171" s="3">
        <v>424</v>
      </c>
      <c r="M171" s="3">
        <v>-6.7721177577696199E-3</v>
      </c>
      <c r="N171" s="3">
        <v>3.9666620114214499E-3</v>
      </c>
      <c r="O171" s="3">
        <v>0</v>
      </c>
      <c r="P171" s="3">
        <v>0</v>
      </c>
      <c r="Q171" s="3">
        <v>0</v>
      </c>
      <c r="R171" s="3">
        <v>0</v>
      </c>
      <c r="S171" s="3">
        <v>0</v>
      </c>
      <c r="T171" s="3">
        <v>258</v>
      </c>
      <c r="U171" s="3">
        <v>31</v>
      </c>
      <c r="V171" s="3">
        <v>0</v>
      </c>
      <c r="W171" s="3">
        <v>140</v>
      </c>
      <c r="X171" s="3">
        <v>0</v>
      </c>
      <c r="Y171" s="3">
        <v>0</v>
      </c>
      <c r="Z171" s="3">
        <v>0.326340326340326</v>
      </c>
      <c r="AA171" s="3">
        <v>0.60139860139860102</v>
      </c>
      <c r="AB171" s="3">
        <v>7.2261072261072298E-2</v>
      </c>
      <c r="AC171" s="3">
        <v>0</v>
      </c>
      <c r="AD171" s="3">
        <v>0</v>
      </c>
      <c r="AE171" s="3">
        <v>0</v>
      </c>
      <c r="AF171" s="3">
        <v>0</v>
      </c>
      <c r="AG171" s="3">
        <v>0</v>
      </c>
      <c r="AH171" s="3">
        <v>0</v>
      </c>
      <c r="AI171" s="3">
        <v>0</v>
      </c>
      <c r="AJ171" s="3">
        <v>0</v>
      </c>
      <c r="AK171" s="3">
        <v>0.23543123543123501</v>
      </c>
      <c r="AL171" s="3">
        <v>0</v>
      </c>
      <c r="AM171" s="3">
        <v>0.76456876456876499</v>
      </c>
      <c r="AN171" s="3">
        <v>0.179373048451613</v>
      </c>
      <c r="AO171" s="3">
        <v>0.18937301972857101</v>
      </c>
      <c r="AP171" s="3">
        <v>0.18329259311027701</v>
      </c>
      <c r="AQ171" s="3"/>
      <c r="AR171" s="3"/>
      <c r="AS171" s="3"/>
      <c r="AT171" s="3"/>
      <c r="AU171" s="3"/>
      <c r="AV171" s="3"/>
      <c r="AW171" s="6"/>
      <c r="AX171" s="6"/>
    </row>
    <row r="172" spans="1:50" ht="98" hidden="1" x14ac:dyDescent="0.2">
      <c r="A172" s="3" t="s">
        <v>209</v>
      </c>
      <c r="B172" s="3" t="s">
        <v>160</v>
      </c>
      <c r="C172" s="3">
        <v>288544736</v>
      </c>
      <c r="D172" s="3" t="s">
        <v>44</v>
      </c>
      <c r="E172" s="3" t="s">
        <v>45</v>
      </c>
      <c r="F172" s="3" t="s">
        <v>46</v>
      </c>
      <c r="G172" s="3" t="s">
        <v>46</v>
      </c>
      <c r="H172" s="3" t="s">
        <v>117</v>
      </c>
      <c r="I172" s="3" t="s">
        <v>181</v>
      </c>
      <c r="J172" s="20" t="s">
        <v>210</v>
      </c>
      <c r="K172" s="3">
        <v>0.41509433962264197</v>
      </c>
      <c r="L172" s="3">
        <v>424</v>
      </c>
      <c r="M172" s="3">
        <v>-5.7663193400920897E-3</v>
      </c>
      <c r="N172" s="3">
        <v>7.5814265400506297E-3</v>
      </c>
      <c r="O172" s="3">
        <v>0</v>
      </c>
      <c r="P172" s="3">
        <v>0</v>
      </c>
      <c r="Q172" s="3">
        <v>0</v>
      </c>
      <c r="R172" s="3">
        <v>0</v>
      </c>
      <c r="S172" s="3">
        <v>28</v>
      </c>
      <c r="T172" s="3">
        <v>401</v>
      </c>
      <c r="U172" s="3">
        <v>0</v>
      </c>
      <c r="V172" s="3">
        <v>0</v>
      </c>
      <c r="W172" s="3">
        <v>0</v>
      </c>
      <c r="X172" s="3">
        <v>0</v>
      </c>
      <c r="Y172" s="3">
        <v>0</v>
      </c>
      <c r="Z172" s="3">
        <v>0</v>
      </c>
      <c r="AA172" s="3">
        <v>0.93473193473193505</v>
      </c>
      <c r="AB172" s="3">
        <v>0</v>
      </c>
      <c r="AC172" s="3">
        <v>0</v>
      </c>
      <c r="AD172" s="3">
        <v>0</v>
      </c>
      <c r="AE172" s="3">
        <v>0</v>
      </c>
      <c r="AF172" s="3">
        <v>0</v>
      </c>
      <c r="AG172" s="3">
        <v>6.5268065268065306E-2</v>
      </c>
      <c r="AH172" s="3">
        <v>0</v>
      </c>
      <c r="AI172" s="3">
        <v>0</v>
      </c>
      <c r="AJ172" s="3">
        <v>0</v>
      </c>
      <c r="AK172" s="3">
        <v>0</v>
      </c>
      <c r="AL172" s="3">
        <v>3.2634032634032598E-2</v>
      </c>
      <c r="AM172" s="3">
        <v>0.96736596736596703</v>
      </c>
      <c r="AN172" s="3" t="s">
        <v>55</v>
      </c>
      <c r="AO172" s="3">
        <v>0.188114688367857</v>
      </c>
      <c r="AP172" s="3">
        <v>0.184794449612626</v>
      </c>
      <c r="AQ172" s="3" t="s">
        <v>796</v>
      </c>
      <c r="AR172" s="3" t="s">
        <v>797</v>
      </c>
      <c r="AS172" s="3" t="s">
        <v>798</v>
      </c>
      <c r="AT172" s="3" t="s">
        <v>636</v>
      </c>
      <c r="AU172" s="4">
        <v>0.78</v>
      </c>
      <c r="AV172" s="5">
        <v>0.94940000000000002</v>
      </c>
      <c r="AW172" s="10" t="s">
        <v>799</v>
      </c>
      <c r="AX172" s="6" t="s">
        <v>800</v>
      </c>
    </row>
    <row r="173" spans="1:50" ht="70" hidden="1" x14ac:dyDescent="0.2">
      <c r="A173" s="3" t="s">
        <v>211</v>
      </c>
      <c r="B173" s="3" t="s">
        <v>97</v>
      </c>
      <c r="C173" s="3">
        <v>103469367</v>
      </c>
      <c r="D173" s="3" t="s">
        <v>67</v>
      </c>
      <c r="E173" s="3" t="s">
        <v>46</v>
      </c>
      <c r="F173" s="3" t="s">
        <v>53</v>
      </c>
      <c r="G173" s="3" t="s">
        <v>46</v>
      </c>
      <c r="H173" s="3" t="s">
        <v>117</v>
      </c>
      <c r="I173" s="3" t="s">
        <v>181</v>
      </c>
      <c r="J173" s="20" t="s">
        <v>212</v>
      </c>
      <c r="K173" s="3">
        <v>7.4292452830188704E-2</v>
      </c>
      <c r="L173" s="3">
        <v>424</v>
      </c>
      <c r="M173" s="3">
        <v>9.9718502998866806E-3</v>
      </c>
      <c r="N173" s="3">
        <v>7.2669578834499704E-3</v>
      </c>
      <c r="O173" s="3">
        <v>0</v>
      </c>
      <c r="P173" s="3">
        <v>1</v>
      </c>
      <c r="Q173" s="3">
        <v>38</v>
      </c>
      <c r="R173" s="3">
        <v>390</v>
      </c>
      <c r="S173" s="3">
        <v>0</v>
      </c>
      <c r="T173" s="3">
        <v>0</v>
      </c>
      <c r="U173" s="3">
        <v>0</v>
      </c>
      <c r="V173" s="3">
        <v>0</v>
      </c>
      <c r="W173" s="3">
        <v>0</v>
      </c>
      <c r="X173" s="3">
        <v>0</v>
      </c>
      <c r="Y173" s="3">
        <v>0</v>
      </c>
      <c r="Z173" s="3">
        <v>0</v>
      </c>
      <c r="AA173" s="3">
        <v>0</v>
      </c>
      <c r="AB173" s="3">
        <v>0</v>
      </c>
      <c r="AC173" s="3">
        <v>0</v>
      </c>
      <c r="AD173" s="3">
        <v>0.90909090909090895</v>
      </c>
      <c r="AE173" s="3">
        <v>8.8578088578088604E-2</v>
      </c>
      <c r="AF173" s="3">
        <v>2.3310023310023301E-3</v>
      </c>
      <c r="AG173" s="3">
        <v>0</v>
      </c>
      <c r="AH173" s="3">
        <v>0</v>
      </c>
      <c r="AI173" s="3">
        <v>0</v>
      </c>
      <c r="AJ173" s="3">
        <v>0.95337995337995296</v>
      </c>
      <c r="AK173" s="3">
        <v>0</v>
      </c>
      <c r="AL173" s="3">
        <v>4.6620046620046603E-2</v>
      </c>
      <c r="AM173" s="3">
        <v>0</v>
      </c>
      <c r="AN173" s="3">
        <v>0.22266666669999999</v>
      </c>
      <c r="AO173" s="3">
        <v>0.184961893056757</v>
      </c>
      <c r="AP173" s="3">
        <v>0.184921131116839</v>
      </c>
      <c r="AQ173" s="3" t="s">
        <v>801</v>
      </c>
      <c r="AR173" s="3" t="s">
        <v>802</v>
      </c>
      <c r="AS173" s="3" t="s">
        <v>803</v>
      </c>
      <c r="AT173" s="3" t="s">
        <v>636</v>
      </c>
      <c r="AU173" s="4">
        <v>1</v>
      </c>
      <c r="AV173" s="5">
        <v>0.97509999999999997</v>
      </c>
      <c r="AW173" s="16" t="s">
        <v>804</v>
      </c>
      <c r="AX173" s="6" t="s">
        <v>805</v>
      </c>
    </row>
    <row r="174" spans="1:50" hidden="1" x14ac:dyDescent="0.2">
      <c r="A174" s="3" t="s">
        <v>233</v>
      </c>
      <c r="B174" s="3" t="s">
        <v>90</v>
      </c>
      <c r="C174" s="3">
        <v>629468571</v>
      </c>
      <c r="D174" s="3" t="s">
        <v>109</v>
      </c>
      <c r="E174" s="3" t="s">
        <v>59</v>
      </c>
      <c r="F174" s="3" t="s">
        <v>45</v>
      </c>
      <c r="G174" s="3" t="s">
        <v>45</v>
      </c>
      <c r="H174" s="3" t="s">
        <v>234</v>
      </c>
      <c r="I174" s="3" t="s">
        <v>181</v>
      </c>
      <c r="J174" s="20" t="s">
        <v>235</v>
      </c>
      <c r="K174" s="3">
        <v>0.22051886792452799</v>
      </c>
      <c r="L174" s="3">
        <v>424</v>
      </c>
      <c r="M174" s="3">
        <v>-3.5893732860926502</v>
      </c>
      <c r="N174" s="3">
        <v>1.2620793244807099E-4</v>
      </c>
      <c r="O174" s="3">
        <v>0</v>
      </c>
      <c r="P174" s="3">
        <v>0</v>
      </c>
      <c r="Q174" s="3">
        <v>0</v>
      </c>
      <c r="R174" s="3">
        <v>0</v>
      </c>
      <c r="S174" s="3">
        <v>0</v>
      </c>
      <c r="T174" s="3">
        <v>13</v>
      </c>
      <c r="U174" s="3">
        <v>309</v>
      </c>
      <c r="V174" s="3">
        <v>0</v>
      </c>
      <c r="W174" s="3">
        <v>107</v>
      </c>
      <c r="X174" s="3">
        <v>0</v>
      </c>
      <c r="Y174" s="3">
        <v>0</v>
      </c>
      <c r="Z174" s="3">
        <v>0.24941724941724899</v>
      </c>
      <c r="AA174" s="3">
        <v>3.03030303030303E-2</v>
      </c>
      <c r="AB174" s="3">
        <v>0.72027972027971998</v>
      </c>
      <c r="AC174" s="3">
        <v>0</v>
      </c>
      <c r="AD174" s="3">
        <v>0</v>
      </c>
      <c r="AE174" s="3">
        <v>0</v>
      </c>
      <c r="AF174" s="3">
        <v>0</v>
      </c>
      <c r="AG174" s="3">
        <v>0</v>
      </c>
      <c r="AH174" s="3">
        <v>0</v>
      </c>
      <c r="AI174" s="3">
        <v>0</v>
      </c>
      <c r="AJ174" s="3">
        <v>0</v>
      </c>
      <c r="AK174" s="3">
        <v>0.84498834498834496</v>
      </c>
      <c r="AL174" s="3">
        <v>0</v>
      </c>
      <c r="AM174" s="3">
        <v>0.15501165501165501</v>
      </c>
      <c r="AN174" s="3">
        <v>5.3076923076923102</v>
      </c>
      <c r="AO174" s="3">
        <v>11.076190476190501</v>
      </c>
      <c r="AP174" s="3">
        <v>8.7679738562091494</v>
      </c>
      <c r="AQ174" s="3"/>
      <c r="AR174" s="3"/>
      <c r="AS174" s="3"/>
      <c r="AT174" s="3"/>
      <c r="AU174" s="3"/>
      <c r="AV174" s="3"/>
      <c r="AW174" s="6"/>
      <c r="AX174" s="6"/>
    </row>
    <row r="175" spans="1:50" hidden="1" x14ac:dyDescent="0.2">
      <c r="A175" s="3" t="s">
        <v>238</v>
      </c>
      <c r="B175" s="3" t="s">
        <v>224</v>
      </c>
      <c r="C175" s="3">
        <v>71788959</v>
      </c>
      <c r="D175" s="3" t="s">
        <v>67</v>
      </c>
      <c r="E175" s="3" t="s">
        <v>53</v>
      </c>
      <c r="F175" s="3" t="s">
        <v>46</v>
      </c>
      <c r="G175" s="3" t="s">
        <v>46</v>
      </c>
      <c r="H175" s="3" t="s">
        <v>234</v>
      </c>
      <c r="I175" s="3" t="s">
        <v>181</v>
      </c>
      <c r="J175" s="20" t="s">
        <v>239</v>
      </c>
      <c r="K175" s="3">
        <v>0.27004716981132099</v>
      </c>
      <c r="L175" s="3">
        <v>424</v>
      </c>
      <c r="M175" s="3">
        <v>-2.9307657689486901</v>
      </c>
      <c r="N175" s="3">
        <v>2.9605907440225401E-3</v>
      </c>
      <c r="O175" s="3">
        <v>0</v>
      </c>
      <c r="P175" s="3">
        <v>1</v>
      </c>
      <c r="Q175" s="3">
        <v>81</v>
      </c>
      <c r="R175" s="3">
        <v>347</v>
      </c>
      <c r="S175" s="3">
        <v>0</v>
      </c>
      <c r="T175" s="3">
        <v>0</v>
      </c>
      <c r="U175" s="3">
        <v>0</v>
      </c>
      <c r="V175" s="3">
        <v>0</v>
      </c>
      <c r="W175" s="3">
        <v>0</v>
      </c>
      <c r="X175" s="3">
        <v>0</v>
      </c>
      <c r="Y175" s="3">
        <v>0</v>
      </c>
      <c r="Z175" s="3">
        <v>0</v>
      </c>
      <c r="AA175" s="3">
        <v>0</v>
      </c>
      <c r="AB175" s="3">
        <v>0</v>
      </c>
      <c r="AC175" s="3">
        <v>0</v>
      </c>
      <c r="AD175" s="3">
        <v>0.808857808857809</v>
      </c>
      <c r="AE175" s="3">
        <v>0.188811188811189</v>
      </c>
      <c r="AF175" s="3">
        <v>2.3310023310023301E-3</v>
      </c>
      <c r="AG175" s="3">
        <v>0</v>
      </c>
      <c r="AH175" s="3">
        <v>0</v>
      </c>
      <c r="AI175" s="3">
        <v>0</v>
      </c>
      <c r="AJ175" s="3">
        <v>0.90326340326340304</v>
      </c>
      <c r="AK175" s="3">
        <v>0</v>
      </c>
      <c r="AL175" s="3">
        <v>9.6736596736596694E-2</v>
      </c>
      <c r="AM175" s="3">
        <v>0</v>
      </c>
      <c r="AN175" s="3">
        <v>50</v>
      </c>
      <c r="AO175" s="3">
        <v>8.5250000000000004</v>
      </c>
      <c r="AP175" s="3">
        <v>9.2798833819242006</v>
      </c>
      <c r="AQ175" s="3"/>
      <c r="AR175" s="3"/>
      <c r="AS175" s="3"/>
      <c r="AT175" s="3"/>
      <c r="AU175" s="3"/>
      <c r="AV175" s="3"/>
      <c r="AW175" s="6"/>
      <c r="AX175" s="6"/>
    </row>
    <row r="176" spans="1:50" hidden="1" x14ac:dyDescent="0.2">
      <c r="A176" s="3" t="s">
        <v>240</v>
      </c>
      <c r="B176" s="3" t="s">
        <v>100</v>
      </c>
      <c r="C176" s="3">
        <v>62913669</v>
      </c>
      <c r="D176" s="3" t="s">
        <v>85</v>
      </c>
      <c r="E176" s="3" t="s">
        <v>53</v>
      </c>
      <c r="F176" s="3" t="s">
        <v>45</v>
      </c>
      <c r="G176" s="3" t="s">
        <v>45</v>
      </c>
      <c r="H176" s="3" t="s">
        <v>234</v>
      </c>
      <c r="I176" s="3" t="s">
        <v>181</v>
      </c>
      <c r="J176" s="20" t="s">
        <v>241</v>
      </c>
      <c r="K176" s="3">
        <v>2.47641509433962E-2</v>
      </c>
      <c r="L176" s="3">
        <v>424</v>
      </c>
      <c r="M176" s="3">
        <v>-7.3963655532146504</v>
      </c>
      <c r="N176" s="3">
        <v>7.8838678575498394E-3</v>
      </c>
      <c r="O176" s="3">
        <v>0</v>
      </c>
      <c r="P176" s="3">
        <v>0</v>
      </c>
      <c r="Q176" s="3">
        <v>0</v>
      </c>
      <c r="R176" s="3">
        <v>383</v>
      </c>
      <c r="S176" s="3">
        <v>0</v>
      </c>
      <c r="T176" s="3">
        <v>8</v>
      </c>
      <c r="U176" s="3">
        <v>0</v>
      </c>
      <c r="V176" s="3">
        <v>0</v>
      </c>
      <c r="W176" s="3">
        <v>0</v>
      </c>
      <c r="X176" s="3">
        <v>0</v>
      </c>
      <c r="Y176" s="3">
        <v>38</v>
      </c>
      <c r="Z176" s="3">
        <v>0</v>
      </c>
      <c r="AA176" s="3">
        <v>1.8648018648018599E-2</v>
      </c>
      <c r="AB176" s="3">
        <v>0</v>
      </c>
      <c r="AC176" s="3">
        <v>0</v>
      </c>
      <c r="AD176" s="3">
        <v>0.89277389277389296</v>
      </c>
      <c r="AE176" s="3">
        <v>0</v>
      </c>
      <c r="AF176" s="3">
        <v>0</v>
      </c>
      <c r="AG176" s="3">
        <v>0</v>
      </c>
      <c r="AH176" s="3">
        <v>8.8578088578088604E-2</v>
      </c>
      <c r="AI176" s="3">
        <v>0</v>
      </c>
      <c r="AJ176" s="3">
        <v>0.93706293706293697</v>
      </c>
      <c r="AK176" s="3">
        <v>0</v>
      </c>
      <c r="AL176" s="3">
        <v>0</v>
      </c>
      <c r="AM176" s="3">
        <v>6.2937062937062901E-2</v>
      </c>
      <c r="AN176" s="3">
        <v>4.875</v>
      </c>
      <c r="AO176" s="3">
        <v>7.6052631578947398</v>
      </c>
      <c r="AP176" s="3">
        <v>9.4894179894179906</v>
      </c>
      <c r="AQ176" s="3"/>
      <c r="AR176" s="3"/>
      <c r="AS176" s="3"/>
      <c r="AT176" s="3"/>
      <c r="AU176" s="3"/>
      <c r="AV176" s="3"/>
      <c r="AW176" s="6"/>
      <c r="AX176" s="6"/>
    </row>
    <row r="177" spans="1:50" hidden="1" x14ac:dyDescent="0.2">
      <c r="A177" s="3" t="s">
        <v>242</v>
      </c>
      <c r="B177" s="3" t="s">
        <v>70</v>
      </c>
      <c r="C177" s="3">
        <v>308051477</v>
      </c>
      <c r="D177" s="3" t="s">
        <v>67</v>
      </c>
      <c r="E177" s="3" t="s">
        <v>53</v>
      </c>
      <c r="F177" s="3" t="s">
        <v>46</v>
      </c>
      <c r="G177" s="3" t="s">
        <v>46</v>
      </c>
      <c r="H177" s="3" t="s">
        <v>234</v>
      </c>
      <c r="I177" s="3" t="s">
        <v>181</v>
      </c>
      <c r="J177" s="20" t="s">
        <v>243</v>
      </c>
      <c r="K177" s="3">
        <v>0.20636792452830199</v>
      </c>
      <c r="L177" s="3">
        <v>424</v>
      </c>
      <c r="M177" s="3">
        <v>-3.32793596937905</v>
      </c>
      <c r="N177" s="3">
        <v>2.9605907440225401E-3</v>
      </c>
      <c r="O177" s="3">
        <v>0</v>
      </c>
      <c r="P177" s="3">
        <v>1</v>
      </c>
      <c r="Q177" s="3">
        <v>72</v>
      </c>
      <c r="R177" s="3">
        <v>356</v>
      </c>
      <c r="S177" s="3">
        <v>0</v>
      </c>
      <c r="T177" s="3">
        <v>0</v>
      </c>
      <c r="U177" s="3">
        <v>0</v>
      </c>
      <c r="V177" s="3">
        <v>0</v>
      </c>
      <c r="W177" s="3">
        <v>0</v>
      </c>
      <c r="X177" s="3">
        <v>0</v>
      </c>
      <c r="Y177" s="3">
        <v>0</v>
      </c>
      <c r="Z177" s="3">
        <v>0</v>
      </c>
      <c r="AA177" s="3">
        <v>0</v>
      </c>
      <c r="AB177" s="3">
        <v>0</v>
      </c>
      <c r="AC177" s="3">
        <v>0</v>
      </c>
      <c r="AD177" s="3">
        <v>0.82983682983683005</v>
      </c>
      <c r="AE177" s="3">
        <v>0.16783216783216801</v>
      </c>
      <c r="AF177" s="3">
        <v>2.3310023310023301E-3</v>
      </c>
      <c r="AG177" s="3">
        <v>0</v>
      </c>
      <c r="AH177" s="3">
        <v>0</v>
      </c>
      <c r="AI177" s="3">
        <v>0</v>
      </c>
      <c r="AJ177" s="3">
        <v>0.91375291375291401</v>
      </c>
      <c r="AK177" s="3">
        <v>0</v>
      </c>
      <c r="AL177" s="3">
        <v>8.6247086247086296E-2</v>
      </c>
      <c r="AM177" s="3">
        <v>0</v>
      </c>
      <c r="AN177" s="3">
        <v>0</v>
      </c>
      <c r="AO177" s="3">
        <v>9.6857142857142904</v>
      </c>
      <c r="AP177" s="3">
        <v>9.1699716713880992</v>
      </c>
      <c r="AQ177" s="3"/>
      <c r="AR177" s="3"/>
      <c r="AS177" s="3"/>
      <c r="AT177" s="3"/>
      <c r="AU177" s="3"/>
      <c r="AV177" s="3"/>
      <c r="AW177" s="6"/>
      <c r="AX177" s="6"/>
    </row>
    <row r="178" spans="1:50" hidden="1" x14ac:dyDescent="0.2">
      <c r="A178" s="3" t="s">
        <v>319</v>
      </c>
      <c r="B178" s="3" t="s">
        <v>57</v>
      </c>
      <c r="C178" s="3">
        <v>84673435</v>
      </c>
      <c r="D178" s="3" t="s">
        <v>260</v>
      </c>
      <c r="E178" s="3" t="s">
        <v>53</v>
      </c>
      <c r="F178" s="3" t="s">
        <v>59</v>
      </c>
      <c r="G178" s="3" t="s">
        <v>59</v>
      </c>
      <c r="H178" s="3" t="s">
        <v>234</v>
      </c>
      <c r="I178" s="3" t="s">
        <v>259</v>
      </c>
      <c r="J178" s="20" t="s">
        <v>320</v>
      </c>
      <c r="K178" s="3">
        <v>1.3477088948786701E-3</v>
      </c>
      <c r="L178" s="3">
        <v>371</v>
      </c>
      <c r="M178" s="3">
        <v>-21.112680293195801</v>
      </c>
      <c r="N178" s="20" t="s">
        <v>321</v>
      </c>
      <c r="O178" s="3">
        <v>0</v>
      </c>
      <c r="P178" s="3">
        <v>0</v>
      </c>
      <c r="Q178" s="3">
        <v>0</v>
      </c>
      <c r="R178" s="3">
        <v>274</v>
      </c>
      <c r="S178" s="3">
        <v>0</v>
      </c>
      <c r="T178" s="3">
        <v>0</v>
      </c>
      <c r="U178" s="3">
        <v>6</v>
      </c>
      <c r="V178" s="3">
        <v>0</v>
      </c>
      <c r="W178" s="3">
        <v>0</v>
      </c>
      <c r="X178" s="3">
        <v>149</v>
      </c>
      <c r="Y178" s="3">
        <v>0</v>
      </c>
      <c r="Z178" s="3">
        <v>0</v>
      </c>
      <c r="AA178" s="3">
        <v>0</v>
      </c>
      <c r="AB178" s="3">
        <v>1.3986013986014E-2</v>
      </c>
      <c r="AC178" s="3">
        <v>0.34731934731934699</v>
      </c>
      <c r="AD178" s="3">
        <v>0.63869463869463905</v>
      </c>
      <c r="AE178" s="3">
        <v>0</v>
      </c>
      <c r="AF178" s="3">
        <v>0</v>
      </c>
      <c r="AG178" s="3">
        <v>0</v>
      </c>
      <c r="AH178" s="3">
        <v>0</v>
      </c>
      <c r="AI178" s="3">
        <v>0</v>
      </c>
      <c r="AJ178" s="3">
        <v>0.81235431235431199</v>
      </c>
      <c r="AK178" s="3">
        <v>0.18764568764568801</v>
      </c>
      <c r="AL178" s="3">
        <v>0</v>
      </c>
      <c r="AM178" s="3">
        <v>0</v>
      </c>
      <c r="AN178" s="3">
        <v>2.4</v>
      </c>
      <c r="AO178" s="3">
        <v>4.1742424242424203</v>
      </c>
      <c r="AP178" s="3">
        <v>3.3333333333333299</v>
      </c>
      <c r="AQ178" s="3"/>
      <c r="AR178" s="3"/>
      <c r="AS178" s="3"/>
      <c r="AT178" s="3"/>
      <c r="AU178" s="3"/>
      <c r="AV178" s="3"/>
      <c r="AW178" s="6"/>
      <c r="AX178" s="6"/>
    </row>
    <row r="179" spans="1:50" hidden="1" x14ac:dyDescent="0.2">
      <c r="A179" s="3" t="s">
        <v>322</v>
      </c>
      <c r="B179" s="3" t="s">
        <v>138</v>
      </c>
      <c r="C179" s="3">
        <v>507780718</v>
      </c>
      <c r="D179" s="3" t="s">
        <v>52</v>
      </c>
      <c r="E179" s="3" t="s">
        <v>46</v>
      </c>
      <c r="F179" s="3" t="s">
        <v>53</v>
      </c>
      <c r="G179" s="3" t="s">
        <v>53</v>
      </c>
      <c r="H179" s="3" t="s">
        <v>234</v>
      </c>
      <c r="I179" s="3" t="s">
        <v>259</v>
      </c>
      <c r="J179" s="20" t="s">
        <v>323</v>
      </c>
      <c r="K179" s="3">
        <v>6.7385444743934802E-3</v>
      </c>
      <c r="L179" s="3">
        <v>371</v>
      </c>
      <c r="M179" s="3">
        <v>-7.5718020525400798</v>
      </c>
      <c r="N179" s="3">
        <v>6.1953996642392505E-4</v>
      </c>
      <c r="O179" s="3">
        <v>0</v>
      </c>
      <c r="P179" s="3">
        <v>420</v>
      </c>
      <c r="Q179" s="3">
        <v>9</v>
      </c>
      <c r="R179" s="3">
        <v>0</v>
      </c>
      <c r="S179" s="3">
        <v>0</v>
      </c>
      <c r="T179" s="3">
        <v>0</v>
      </c>
      <c r="U179" s="3">
        <v>0</v>
      </c>
      <c r="V179" s="3">
        <v>0</v>
      </c>
      <c r="W179" s="3">
        <v>0</v>
      </c>
      <c r="X179" s="3">
        <v>0</v>
      </c>
      <c r="Y179" s="3">
        <v>0</v>
      </c>
      <c r="Z179" s="3">
        <v>0</v>
      </c>
      <c r="AA179" s="3">
        <v>0</v>
      </c>
      <c r="AB179" s="3">
        <v>0</v>
      </c>
      <c r="AC179" s="3">
        <v>0</v>
      </c>
      <c r="AD179" s="3">
        <v>0</v>
      </c>
      <c r="AE179" s="3">
        <v>2.0979020979021001E-2</v>
      </c>
      <c r="AF179" s="3">
        <v>0.97902097902097895</v>
      </c>
      <c r="AG179" s="3">
        <v>0</v>
      </c>
      <c r="AH179" s="3">
        <v>0</v>
      </c>
      <c r="AI179" s="3">
        <v>0</v>
      </c>
      <c r="AJ179" s="3">
        <v>1.04895104895105E-2</v>
      </c>
      <c r="AK179" s="3">
        <v>0</v>
      </c>
      <c r="AL179" s="3">
        <v>0.98951048951049003</v>
      </c>
      <c r="AM179" s="3">
        <v>0</v>
      </c>
      <c r="AN179" s="3" t="s">
        <v>55</v>
      </c>
      <c r="AO179" s="3">
        <v>5.75</v>
      </c>
      <c r="AP179" s="3">
        <v>3.5730027548209402</v>
      </c>
      <c r="AQ179" s="3"/>
      <c r="AR179" s="3"/>
      <c r="AS179" s="3"/>
      <c r="AT179" s="3"/>
      <c r="AU179" s="3"/>
      <c r="AV179" s="3"/>
      <c r="AW179" s="6"/>
      <c r="AX179" s="6"/>
    </row>
    <row r="180" spans="1:50" hidden="1" x14ac:dyDescent="0.2">
      <c r="A180" s="3" t="s">
        <v>324</v>
      </c>
      <c r="B180" s="3" t="s">
        <v>120</v>
      </c>
      <c r="C180" s="3">
        <v>478511163</v>
      </c>
      <c r="D180" s="3" t="s">
        <v>127</v>
      </c>
      <c r="E180" s="3" t="s">
        <v>45</v>
      </c>
      <c r="F180" s="3" t="s">
        <v>53</v>
      </c>
      <c r="G180" s="3" t="s">
        <v>53</v>
      </c>
      <c r="H180" s="3" t="s">
        <v>234</v>
      </c>
      <c r="I180" s="3" t="s">
        <v>259</v>
      </c>
      <c r="J180" s="20" t="s">
        <v>325</v>
      </c>
      <c r="K180" s="3">
        <v>1.3477088948786701E-3</v>
      </c>
      <c r="L180" s="3">
        <v>371</v>
      </c>
      <c r="M180" s="3">
        <v>-17.552845627521599</v>
      </c>
      <c r="N180" s="3">
        <v>6.0419947143586705E-4</v>
      </c>
      <c r="O180" s="3">
        <v>0</v>
      </c>
      <c r="P180" s="3">
        <v>0</v>
      </c>
      <c r="Q180" s="3">
        <v>0</v>
      </c>
      <c r="R180" s="3">
        <v>1</v>
      </c>
      <c r="S180" s="3">
        <v>0</v>
      </c>
      <c r="T180" s="3">
        <v>331</v>
      </c>
      <c r="U180" s="3">
        <v>0</v>
      </c>
      <c r="V180" s="3">
        <v>0</v>
      </c>
      <c r="W180" s="3">
        <v>0</v>
      </c>
      <c r="X180" s="3">
        <v>0</v>
      </c>
      <c r="Y180" s="3">
        <v>97</v>
      </c>
      <c r="Z180" s="3">
        <v>0</v>
      </c>
      <c r="AA180" s="3">
        <v>0.77156177156177197</v>
      </c>
      <c r="AB180" s="3">
        <v>0</v>
      </c>
      <c r="AC180" s="3">
        <v>0</v>
      </c>
      <c r="AD180" s="3">
        <v>2.3310023310023301E-3</v>
      </c>
      <c r="AE180" s="3">
        <v>0</v>
      </c>
      <c r="AF180" s="3">
        <v>0</v>
      </c>
      <c r="AG180" s="3">
        <v>0</v>
      </c>
      <c r="AH180" s="3">
        <v>0.226107226107226</v>
      </c>
      <c r="AI180" s="3">
        <v>0</v>
      </c>
      <c r="AJ180" s="3">
        <v>0.115384615384615</v>
      </c>
      <c r="AK180" s="3">
        <v>0</v>
      </c>
      <c r="AL180" s="3">
        <v>0</v>
      </c>
      <c r="AM180" s="3">
        <v>0.88461538461538503</v>
      </c>
      <c r="AN180" s="3">
        <v>5</v>
      </c>
      <c r="AO180" s="3">
        <v>4.2022471910112396</v>
      </c>
      <c r="AP180" s="3">
        <v>3.4306049822064102</v>
      </c>
      <c r="AQ180" s="3"/>
      <c r="AR180" s="3"/>
      <c r="AS180" s="3"/>
      <c r="AT180" s="3"/>
      <c r="AU180" s="3"/>
      <c r="AV180" s="3"/>
      <c r="AW180" s="6"/>
      <c r="AX180" s="6"/>
    </row>
    <row r="181" spans="1:50" hidden="1" x14ac:dyDescent="0.2">
      <c r="A181" s="3" t="s">
        <v>326</v>
      </c>
      <c r="B181" s="3" t="s">
        <v>123</v>
      </c>
      <c r="C181" s="3">
        <v>541253677</v>
      </c>
      <c r="D181" s="3" t="s">
        <v>52</v>
      </c>
      <c r="E181" s="3" t="s">
        <v>53</v>
      </c>
      <c r="F181" s="3" t="s">
        <v>46</v>
      </c>
      <c r="G181" s="3" t="s">
        <v>53</v>
      </c>
      <c r="H181" s="3" t="s">
        <v>234</v>
      </c>
      <c r="I181" s="3" t="s">
        <v>259</v>
      </c>
      <c r="J181" s="20" t="s">
        <v>327</v>
      </c>
      <c r="K181" s="3">
        <v>1.3477088948786701E-3</v>
      </c>
      <c r="L181" s="3">
        <v>371</v>
      </c>
      <c r="M181" s="3">
        <v>-15.870338701068601</v>
      </c>
      <c r="N181" s="3">
        <v>5.61338600007159E-3</v>
      </c>
      <c r="O181" s="3">
        <v>0</v>
      </c>
      <c r="P181" s="3">
        <v>262</v>
      </c>
      <c r="Q181" s="3">
        <v>146</v>
      </c>
      <c r="R181" s="3">
        <v>21</v>
      </c>
      <c r="S181" s="3">
        <v>0</v>
      </c>
      <c r="T181" s="3">
        <v>0</v>
      </c>
      <c r="U181" s="3">
        <v>0</v>
      </c>
      <c r="V181" s="3">
        <v>0</v>
      </c>
      <c r="W181" s="3">
        <v>0</v>
      </c>
      <c r="X181" s="3">
        <v>0</v>
      </c>
      <c r="Y181" s="3">
        <v>0</v>
      </c>
      <c r="Z181" s="3">
        <v>0</v>
      </c>
      <c r="AA181" s="3">
        <v>0</v>
      </c>
      <c r="AB181" s="3">
        <v>0</v>
      </c>
      <c r="AC181" s="3">
        <v>0</v>
      </c>
      <c r="AD181" s="3">
        <v>4.8951048951049E-2</v>
      </c>
      <c r="AE181" s="3">
        <v>0.34032634032634002</v>
      </c>
      <c r="AF181" s="3">
        <v>0.61072261072261103</v>
      </c>
      <c r="AG181" s="3">
        <v>0</v>
      </c>
      <c r="AH181" s="3">
        <v>0</v>
      </c>
      <c r="AI181" s="3">
        <v>0</v>
      </c>
      <c r="AJ181" s="3">
        <v>0.21911421911421899</v>
      </c>
      <c r="AK181" s="3">
        <v>0</v>
      </c>
      <c r="AL181" s="3">
        <v>0.78088578088578098</v>
      </c>
      <c r="AM181" s="3">
        <v>0</v>
      </c>
      <c r="AN181" s="3">
        <v>2.3157894736842102</v>
      </c>
      <c r="AO181" s="3">
        <v>3.7734375</v>
      </c>
      <c r="AP181" s="3">
        <v>3.6428571428571401</v>
      </c>
      <c r="AQ181" s="3"/>
      <c r="AR181" s="3"/>
      <c r="AS181" s="3"/>
      <c r="AT181" s="3"/>
      <c r="AU181" s="3"/>
      <c r="AV181" s="3"/>
      <c r="AW181" s="6"/>
      <c r="AX181" s="6"/>
    </row>
    <row r="182" spans="1:50" hidden="1" x14ac:dyDescent="0.2">
      <c r="A182" s="3" t="s">
        <v>402</v>
      </c>
      <c r="B182" s="3" t="s">
        <v>120</v>
      </c>
      <c r="C182" s="3">
        <v>303741566</v>
      </c>
      <c r="D182" s="3" t="s">
        <v>139</v>
      </c>
      <c r="E182" s="3" t="s">
        <v>46</v>
      </c>
      <c r="F182" s="3" t="s">
        <v>45</v>
      </c>
      <c r="G182" s="3" t="s">
        <v>45</v>
      </c>
      <c r="H182" s="3" t="s">
        <v>234</v>
      </c>
      <c r="I182" s="3" t="s">
        <v>369</v>
      </c>
      <c r="J182" s="20" t="s">
        <v>403</v>
      </c>
      <c r="K182" s="3">
        <v>0.19417475728155301</v>
      </c>
      <c r="L182" s="3">
        <v>309</v>
      </c>
      <c r="M182" s="3">
        <v>-5.3232901895082003</v>
      </c>
      <c r="N182" s="3">
        <v>5.5508530523992402E-4</v>
      </c>
      <c r="O182" s="3">
        <v>0</v>
      </c>
      <c r="P182" s="3">
        <v>305</v>
      </c>
      <c r="Q182" s="3">
        <v>0</v>
      </c>
      <c r="R182" s="3">
        <v>0</v>
      </c>
      <c r="S182" s="3">
        <v>58</v>
      </c>
      <c r="T182" s="3">
        <v>1</v>
      </c>
      <c r="U182" s="3">
        <v>0</v>
      </c>
      <c r="V182" s="3">
        <v>0</v>
      </c>
      <c r="W182" s="3">
        <v>0</v>
      </c>
      <c r="X182" s="3">
        <v>0</v>
      </c>
      <c r="Y182" s="3">
        <v>0</v>
      </c>
      <c r="Z182" s="3">
        <v>0</v>
      </c>
      <c r="AA182" s="3">
        <v>2.7472527472527501E-3</v>
      </c>
      <c r="AB182" s="3">
        <v>0</v>
      </c>
      <c r="AC182" s="3">
        <v>0</v>
      </c>
      <c r="AD182" s="3">
        <v>0</v>
      </c>
      <c r="AE182" s="3">
        <v>0</v>
      </c>
      <c r="AF182" s="3">
        <v>0.83791208791208804</v>
      </c>
      <c r="AG182" s="3">
        <v>0.159340659340659</v>
      </c>
      <c r="AH182" s="3">
        <v>0</v>
      </c>
      <c r="AI182" s="3">
        <v>0</v>
      </c>
      <c r="AJ182" s="3">
        <v>0</v>
      </c>
      <c r="AK182" s="3">
        <v>0</v>
      </c>
      <c r="AL182" s="3">
        <v>0.91758241758241799</v>
      </c>
      <c r="AM182" s="3">
        <v>8.2417582417582402E-2</v>
      </c>
      <c r="AN182" s="3">
        <v>10</v>
      </c>
      <c r="AO182" s="3">
        <v>13.98</v>
      </c>
      <c r="AP182" s="3">
        <v>14.135658914728699</v>
      </c>
      <c r="AQ182" s="3" t="s">
        <v>914</v>
      </c>
      <c r="AR182" s="3"/>
      <c r="AS182" s="3" t="s">
        <v>635</v>
      </c>
      <c r="AT182" s="3" t="s">
        <v>636</v>
      </c>
      <c r="AU182" s="4">
        <v>1</v>
      </c>
      <c r="AV182" s="5">
        <v>0.98509999999999998</v>
      </c>
      <c r="AW182" s="6"/>
      <c r="AX182" s="6"/>
    </row>
    <row r="183" spans="1:50" ht="182" hidden="1" x14ac:dyDescent="0.2">
      <c r="A183" s="3" t="s">
        <v>404</v>
      </c>
      <c r="B183" s="3" t="s">
        <v>100</v>
      </c>
      <c r="C183" s="3">
        <v>120261602</v>
      </c>
      <c r="D183" s="3" t="s">
        <v>71</v>
      </c>
      <c r="E183" s="3" t="s">
        <v>45</v>
      </c>
      <c r="F183" s="3" t="s">
        <v>59</v>
      </c>
      <c r="G183" s="3" t="s">
        <v>59</v>
      </c>
      <c r="H183" s="3" t="s">
        <v>234</v>
      </c>
      <c r="I183" s="3" t="s">
        <v>369</v>
      </c>
      <c r="J183" s="20" t="s">
        <v>405</v>
      </c>
      <c r="K183" s="3">
        <v>6.47249190938515E-3</v>
      </c>
      <c r="L183" s="3">
        <v>309</v>
      </c>
      <c r="M183" s="3">
        <v>-32.214873776964197</v>
      </c>
      <c r="N183" s="20" t="s">
        <v>406</v>
      </c>
      <c r="O183" s="3">
        <v>0</v>
      </c>
      <c r="P183" s="3">
        <v>0</v>
      </c>
      <c r="Q183" s="3">
        <v>0</v>
      </c>
      <c r="R183" s="3">
        <v>0</v>
      </c>
      <c r="S183" s="3">
        <v>0</v>
      </c>
      <c r="T183" s="3">
        <v>231</v>
      </c>
      <c r="U183" s="3">
        <v>17</v>
      </c>
      <c r="V183" s="3">
        <v>0</v>
      </c>
      <c r="W183" s="3">
        <v>116</v>
      </c>
      <c r="X183" s="3">
        <v>0</v>
      </c>
      <c r="Y183" s="3">
        <v>0</v>
      </c>
      <c r="Z183" s="3">
        <v>0.31868131868131899</v>
      </c>
      <c r="AA183" s="3">
        <v>0.63461538461538503</v>
      </c>
      <c r="AB183" s="3">
        <v>4.6703296703296697E-2</v>
      </c>
      <c r="AC183" s="3">
        <v>0</v>
      </c>
      <c r="AD183" s="3">
        <v>0</v>
      </c>
      <c r="AE183" s="3">
        <v>0</v>
      </c>
      <c r="AF183" s="3">
        <v>0</v>
      </c>
      <c r="AG183" s="3">
        <v>0</v>
      </c>
      <c r="AH183" s="3">
        <v>0</v>
      </c>
      <c r="AI183" s="3">
        <v>0</v>
      </c>
      <c r="AJ183" s="3">
        <v>0</v>
      </c>
      <c r="AK183" s="3">
        <v>0.20604395604395601</v>
      </c>
      <c r="AL183" s="3">
        <v>0</v>
      </c>
      <c r="AM183" s="3">
        <v>0.79395604395604402</v>
      </c>
      <c r="AN183" s="3">
        <v>11.6</v>
      </c>
      <c r="AO183" s="3">
        <v>14.783505154639199</v>
      </c>
      <c r="AP183" s="3">
        <v>13.9492385786802</v>
      </c>
      <c r="AQ183" s="3" t="s">
        <v>914</v>
      </c>
      <c r="AR183" s="3"/>
      <c r="AS183" s="3" t="s">
        <v>811</v>
      </c>
      <c r="AT183" s="3" t="s">
        <v>636</v>
      </c>
      <c r="AU183" s="3" t="s">
        <v>812</v>
      </c>
      <c r="AV183" s="3" t="s">
        <v>813</v>
      </c>
      <c r="AW183" s="12" t="s">
        <v>814</v>
      </c>
      <c r="AX183" s="6" t="s">
        <v>929</v>
      </c>
    </row>
    <row r="184" spans="1:50" ht="56" hidden="1" x14ac:dyDescent="0.2">
      <c r="A184" s="3" t="s">
        <v>549</v>
      </c>
      <c r="B184" s="3" t="s">
        <v>57</v>
      </c>
      <c r="C184" s="3">
        <v>497263053</v>
      </c>
      <c r="D184" s="3" t="s">
        <v>52</v>
      </c>
      <c r="E184" s="3" t="s">
        <v>46</v>
      </c>
      <c r="F184" s="3" t="s">
        <v>53</v>
      </c>
      <c r="G184" s="3" t="s">
        <v>53</v>
      </c>
      <c r="H184" s="3" t="s">
        <v>234</v>
      </c>
      <c r="I184" s="3" t="s">
        <v>519</v>
      </c>
      <c r="J184" s="20" t="s">
        <v>550</v>
      </c>
      <c r="K184" s="3">
        <v>7.66871165644167E-3</v>
      </c>
      <c r="L184" s="3">
        <v>326</v>
      </c>
      <c r="M184" s="3">
        <v>-11.267050699438</v>
      </c>
      <c r="N184" s="20" t="s">
        <v>551</v>
      </c>
      <c r="O184" s="3">
        <v>0</v>
      </c>
      <c r="P184" s="3">
        <v>335</v>
      </c>
      <c r="Q184" s="3">
        <v>22</v>
      </c>
      <c r="R184" s="3">
        <v>0</v>
      </c>
      <c r="S184" s="3">
        <v>0</v>
      </c>
      <c r="T184" s="3">
        <v>0</v>
      </c>
      <c r="U184" s="3">
        <v>0</v>
      </c>
      <c r="V184" s="3">
        <v>0</v>
      </c>
      <c r="W184" s="3">
        <v>0</v>
      </c>
      <c r="X184" s="3">
        <v>0</v>
      </c>
      <c r="Y184" s="3">
        <v>0</v>
      </c>
      <c r="Z184" s="3">
        <v>0</v>
      </c>
      <c r="AA184" s="3">
        <v>0</v>
      </c>
      <c r="AB184" s="3">
        <v>0</v>
      </c>
      <c r="AC184" s="3">
        <v>0</v>
      </c>
      <c r="AD184" s="3">
        <v>0</v>
      </c>
      <c r="AE184" s="3">
        <v>6.1624649859944002E-2</v>
      </c>
      <c r="AF184" s="3">
        <v>0.93837535014005602</v>
      </c>
      <c r="AG184" s="3">
        <v>0</v>
      </c>
      <c r="AH184" s="3">
        <v>0</v>
      </c>
      <c r="AI184" s="3">
        <v>0</v>
      </c>
      <c r="AJ184" s="3">
        <v>3.0812324929972001E-2</v>
      </c>
      <c r="AK184" s="3">
        <v>0</v>
      </c>
      <c r="AL184" s="3">
        <v>0.96918767507002801</v>
      </c>
      <c r="AM184" s="3">
        <v>0</v>
      </c>
      <c r="AN184" s="3" t="s">
        <v>55</v>
      </c>
      <c r="AO184" s="3">
        <v>4.4000000000000004</v>
      </c>
      <c r="AP184" s="3">
        <v>5.2156862745097996</v>
      </c>
      <c r="AQ184" s="3" t="s">
        <v>815</v>
      </c>
      <c r="AR184" s="3" t="s">
        <v>816</v>
      </c>
      <c r="AS184" s="3" t="s">
        <v>817</v>
      </c>
      <c r="AT184" s="3" t="s">
        <v>636</v>
      </c>
      <c r="AU184" s="4">
        <v>0.93</v>
      </c>
      <c r="AV184" s="5">
        <v>0.98939999999999995</v>
      </c>
      <c r="AW184" s="10" t="s">
        <v>818</v>
      </c>
      <c r="AX184" s="6" t="s">
        <v>819</v>
      </c>
    </row>
    <row r="185" spans="1:50" ht="42" hidden="1" x14ac:dyDescent="0.2">
      <c r="A185" s="3" t="s">
        <v>562</v>
      </c>
      <c r="B185" s="3" t="s">
        <v>100</v>
      </c>
      <c r="C185" s="3">
        <v>134093949</v>
      </c>
      <c r="D185" s="3" t="s">
        <v>71</v>
      </c>
      <c r="E185" s="3" t="s">
        <v>45</v>
      </c>
      <c r="F185" s="3" t="s">
        <v>59</v>
      </c>
      <c r="G185" s="3" t="s">
        <v>59</v>
      </c>
      <c r="H185" s="3" t="s">
        <v>234</v>
      </c>
      <c r="I185" s="3" t="s">
        <v>519</v>
      </c>
      <c r="J185" s="20" t="s">
        <v>563</v>
      </c>
      <c r="K185" s="3">
        <v>3.0674846625766698E-3</v>
      </c>
      <c r="L185" s="3">
        <v>326</v>
      </c>
      <c r="M185" s="3">
        <v>-21.49562057843</v>
      </c>
      <c r="N185" s="20" t="s">
        <v>564</v>
      </c>
      <c r="O185" s="3">
        <v>0</v>
      </c>
      <c r="P185" s="3">
        <v>0</v>
      </c>
      <c r="Q185" s="3">
        <v>0</v>
      </c>
      <c r="R185" s="3">
        <v>0</v>
      </c>
      <c r="S185" s="3">
        <v>0</v>
      </c>
      <c r="T185" s="3">
        <v>76</v>
      </c>
      <c r="U185" s="3">
        <v>46</v>
      </c>
      <c r="V185" s="3">
        <v>0</v>
      </c>
      <c r="W185" s="3">
        <v>235</v>
      </c>
      <c r="X185" s="3">
        <v>0</v>
      </c>
      <c r="Y185" s="3">
        <v>0</v>
      </c>
      <c r="Z185" s="3">
        <v>0.65826330532212896</v>
      </c>
      <c r="AA185" s="3">
        <v>0.212885154061625</v>
      </c>
      <c r="AB185" s="3">
        <v>0.12885154061624601</v>
      </c>
      <c r="AC185" s="3">
        <v>0</v>
      </c>
      <c r="AD185" s="3">
        <v>0</v>
      </c>
      <c r="AE185" s="3">
        <v>0</v>
      </c>
      <c r="AF185" s="3">
        <v>0</v>
      </c>
      <c r="AG185" s="3">
        <v>0</v>
      </c>
      <c r="AH185" s="3">
        <v>0</v>
      </c>
      <c r="AI185" s="3">
        <v>0</v>
      </c>
      <c r="AJ185" s="3">
        <v>0</v>
      </c>
      <c r="AK185" s="3">
        <v>0.45798319327731102</v>
      </c>
      <c r="AL185" s="3">
        <v>0</v>
      </c>
      <c r="AM185" s="3">
        <v>0.54201680672268904</v>
      </c>
      <c r="AN185" s="3">
        <v>3.6410256410256401</v>
      </c>
      <c r="AO185" s="3">
        <v>5.4748858447488598</v>
      </c>
      <c r="AP185" s="3">
        <v>5.0441176470588198</v>
      </c>
      <c r="AQ185" s="3" t="s">
        <v>825</v>
      </c>
      <c r="AR185" s="3" t="s">
        <v>826</v>
      </c>
      <c r="AS185" s="3" t="s">
        <v>827</v>
      </c>
      <c r="AT185" s="3" t="s">
        <v>636</v>
      </c>
      <c r="AU185" s="4">
        <v>1</v>
      </c>
      <c r="AV185" s="5">
        <v>0.95520000000000005</v>
      </c>
      <c r="AW185" s="10" t="s">
        <v>828</v>
      </c>
      <c r="AX185" s="6" t="s">
        <v>829</v>
      </c>
    </row>
    <row r="186" spans="1:50" hidden="1" x14ac:dyDescent="0.2">
      <c r="A186" s="3" t="s">
        <v>568</v>
      </c>
      <c r="B186" s="3" t="s">
        <v>198</v>
      </c>
      <c r="C186" s="3">
        <v>523243129</v>
      </c>
      <c r="D186" s="3" t="s">
        <v>58</v>
      </c>
      <c r="E186" s="3" t="s">
        <v>46</v>
      </c>
      <c r="F186" s="3" t="s">
        <v>59</v>
      </c>
      <c r="G186" s="3" t="s">
        <v>59</v>
      </c>
      <c r="H186" s="3" t="s">
        <v>234</v>
      </c>
      <c r="I186" s="3" t="s">
        <v>519</v>
      </c>
      <c r="J186" s="20" t="s">
        <v>569</v>
      </c>
      <c r="K186" s="3">
        <v>1.5337423312883299E-3</v>
      </c>
      <c r="L186" s="3">
        <v>326</v>
      </c>
      <c r="M186" s="3">
        <v>-49.800554896263698</v>
      </c>
      <c r="N186" s="20" t="s">
        <v>570</v>
      </c>
      <c r="O186" s="3">
        <v>0</v>
      </c>
      <c r="P186" s="3">
        <v>287</v>
      </c>
      <c r="Q186" s="3">
        <v>0</v>
      </c>
      <c r="R186" s="3">
        <v>0</v>
      </c>
      <c r="S186" s="3">
        <v>0</v>
      </c>
      <c r="T186" s="3">
        <v>0</v>
      </c>
      <c r="U186" s="3">
        <v>1</v>
      </c>
      <c r="V186" s="3">
        <v>69</v>
      </c>
      <c r="W186" s="3">
        <v>0</v>
      </c>
      <c r="X186" s="3">
        <v>0</v>
      </c>
      <c r="Y186" s="3">
        <v>0</v>
      </c>
      <c r="Z186" s="3">
        <v>0</v>
      </c>
      <c r="AA186" s="3">
        <v>0</v>
      </c>
      <c r="AB186" s="3">
        <v>2.80112044817927E-3</v>
      </c>
      <c r="AC186" s="3">
        <v>0</v>
      </c>
      <c r="AD186" s="3">
        <v>0</v>
      </c>
      <c r="AE186" s="3">
        <v>0</v>
      </c>
      <c r="AF186" s="3">
        <v>0.80392156862745101</v>
      </c>
      <c r="AG186" s="3">
        <v>0</v>
      </c>
      <c r="AH186" s="3">
        <v>0</v>
      </c>
      <c r="AI186" s="3">
        <v>0.19327731092437</v>
      </c>
      <c r="AJ186" s="3">
        <v>0</v>
      </c>
      <c r="AK186" s="3">
        <v>9.9439775910364195E-2</v>
      </c>
      <c r="AL186" s="3">
        <v>0.90056022408963599</v>
      </c>
      <c r="AM186" s="3">
        <v>0</v>
      </c>
      <c r="AN186" s="3">
        <v>5</v>
      </c>
      <c r="AO186" s="3">
        <v>5.6507936507936503</v>
      </c>
      <c r="AP186" s="3">
        <v>5.0496183206106897</v>
      </c>
      <c r="AQ186" s="3" t="s">
        <v>830</v>
      </c>
      <c r="AR186" s="3" t="s">
        <v>635</v>
      </c>
      <c r="AS186" s="3" t="s">
        <v>635</v>
      </c>
      <c r="AT186" s="3" t="s">
        <v>636</v>
      </c>
      <c r="AU186" s="4">
        <v>1</v>
      </c>
      <c r="AV186" s="5">
        <v>0.94530000000000003</v>
      </c>
      <c r="AW186" s="6"/>
      <c r="AX186" s="6"/>
    </row>
    <row r="187" spans="1:50" hidden="1" x14ac:dyDescent="0.2">
      <c r="A187" s="3" t="s">
        <v>571</v>
      </c>
      <c r="B187" s="3" t="s">
        <v>169</v>
      </c>
      <c r="C187" s="3">
        <v>385396770</v>
      </c>
      <c r="D187" s="3" t="s">
        <v>127</v>
      </c>
      <c r="E187" s="3" t="s">
        <v>53</v>
      </c>
      <c r="F187" s="3" t="s">
        <v>45</v>
      </c>
      <c r="G187" s="3" t="s">
        <v>53</v>
      </c>
      <c r="H187" s="3" t="s">
        <v>234</v>
      </c>
      <c r="I187" s="3" t="s">
        <v>519</v>
      </c>
      <c r="J187" s="20" t="s">
        <v>572</v>
      </c>
      <c r="K187" s="3">
        <v>0.24079754601226999</v>
      </c>
      <c r="L187" s="3">
        <v>326</v>
      </c>
      <c r="M187" s="3">
        <v>-1.9164729412016199</v>
      </c>
      <c r="N187" s="3">
        <v>1.0813659242972899E-3</v>
      </c>
      <c r="O187" s="3">
        <v>0</v>
      </c>
      <c r="P187" s="3">
        <v>0</v>
      </c>
      <c r="Q187" s="3">
        <v>0</v>
      </c>
      <c r="R187" s="3">
        <v>98</v>
      </c>
      <c r="S187" s="3">
        <v>0</v>
      </c>
      <c r="T187" s="3">
        <v>159</v>
      </c>
      <c r="U187" s="3">
        <v>0</v>
      </c>
      <c r="V187" s="3">
        <v>0</v>
      </c>
      <c r="W187" s="3">
        <v>0</v>
      </c>
      <c r="X187" s="3">
        <v>0</v>
      </c>
      <c r="Y187" s="3">
        <v>100</v>
      </c>
      <c r="Z187" s="3">
        <v>0</v>
      </c>
      <c r="AA187" s="3">
        <v>0.44537815126050401</v>
      </c>
      <c r="AB187" s="3">
        <v>0</v>
      </c>
      <c r="AC187" s="3">
        <v>0</v>
      </c>
      <c r="AD187" s="3">
        <v>0.27450980392156898</v>
      </c>
      <c r="AE187" s="3">
        <v>0</v>
      </c>
      <c r="AF187" s="3">
        <v>0</v>
      </c>
      <c r="AG187" s="3">
        <v>0</v>
      </c>
      <c r="AH187" s="3">
        <v>0.28011204481792701</v>
      </c>
      <c r="AI187" s="3">
        <v>0</v>
      </c>
      <c r="AJ187" s="3">
        <v>0.41456582633053202</v>
      </c>
      <c r="AK187" s="3">
        <v>0</v>
      </c>
      <c r="AL187" s="3">
        <v>0</v>
      </c>
      <c r="AM187" s="3">
        <v>0.58543417366946804</v>
      </c>
      <c r="AN187" s="3">
        <v>6.25555555555556</v>
      </c>
      <c r="AO187" s="3">
        <v>5.7</v>
      </c>
      <c r="AP187" s="3">
        <v>4.1643835616438398</v>
      </c>
      <c r="AQ187" s="3"/>
      <c r="AR187" s="3"/>
      <c r="AS187" s="3"/>
      <c r="AT187" s="3"/>
      <c r="AU187" s="3"/>
      <c r="AV187" s="3"/>
      <c r="AW187" s="6"/>
      <c r="AX187" s="6"/>
    </row>
    <row r="188" spans="1:50" ht="56" hidden="1" x14ac:dyDescent="0.2">
      <c r="A188" s="3" t="s">
        <v>573</v>
      </c>
      <c r="B188" s="3" t="s">
        <v>113</v>
      </c>
      <c r="C188" s="3">
        <v>722317269</v>
      </c>
      <c r="D188" s="3" t="s">
        <v>109</v>
      </c>
      <c r="E188" s="3" t="s">
        <v>45</v>
      </c>
      <c r="F188" s="3" t="s">
        <v>59</v>
      </c>
      <c r="G188" s="3" t="s">
        <v>45</v>
      </c>
      <c r="H188" s="3" t="s">
        <v>234</v>
      </c>
      <c r="I188" s="3" t="s">
        <v>519</v>
      </c>
      <c r="J188" s="20" t="s">
        <v>574</v>
      </c>
      <c r="K188" s="3">
        <v>3.0674846625766698E-3</v>
      </c>
      <c r="L188" s="3">
        <v>326</v>
      </c>
      <c r="M188" s="3">
        <v>-15.7238599127797</v>
      </c>
      <c r="N188" s="3">
        <v>2.15727566101186E-3</v>
      </c>
      <c r="O188" s="3">
        <v>0</v>
      </c>
      <c r="P188" s="3">
        <v>0</v>
      </c>
      <c r="Q188" s="3">
        <v>0</v>
      </c>
      <c r="R188" s="3">
        <v>0</v>
      </c>
      <c r="S188" s="3">
        <v>0</v>
      </c>
      <c r="T188" s="3">
        <v>21</v>
      </c>
      <c r="U188" s="3">
        <v>210</v>
      </c>
      <c r="V188" s="3">
        <v>0</v>
      </c>
      <c r="W188" s="3">
        <v>126</v>
      </c>
      <c r="X188" s="3">
        <v>0</v>
      </c>
      <c r="Y188" s="3">
        <v>0</v>
      </c>
      <c r="Z188" s="3">
        <v>0.35294117647058798</v>
      </c>
      <c r="AA188" s="3">
        <v>5.8823529411764698E-2</v>
      </c>
      <c r="AB188" s="3">
        <v>0.58823529411764697</v>
      </c>
      <c r="AC188" s="3">
        <v>0</v>
      </c>
      <c r="AD188" s="3">
        <v>0</v>
      </c>
      <c r="AE188" s="3">
        <v>0</v>
      </c>
      <c r="AF188" s="3">
        <v>0</v>
      </c>
      <c r="AG188" s="3">
        <v>0</v>
      </c>
      <c r="AH188" s="3">
        <v>0</v>
      </c>
      <c r="AI188" s="3">
        <v>0</v>
      </c>
      <c r="AJ188" s="3">
        <v>0</v>
      </c>
      <c r="AK188" s="3">
        <v>0.76470588235294101</v>
      </c>
      <c r="AL188" s="3">
        <v>0</v>
      </c>
      <c r="AM188" s="3">
        <v>0.23529411764705899</v>
      </c>
      <c r="AN188" s="3">
        <v>3.3157894736842102</v>
      </c>
      <c r="AO188" s="3">
        <v>4.6581196581196602</v>
      </c>
      <c r="AP188" s="3">
        <v>5.6631578947368402</v>
      </c>
      <c r="AQ188" s="3" t="s">
        <v>914</v>
      </c>
      <c r="AR188" s="3"/>
      <c r="AS188" s="3" t="s">
        <v>831</v>
      </c>
      <c r="AT188" s="3" t="s">
        <v>636</v>
      </c>
      <c r="AU188" s="4">
        <v>1</v>
      </c>
      <c r="AV188" s="5">
        <v>0.75980000000000003</v>
      </c>
      <c r="AW188" s="12" t="s">
        <v>681</v>
      </c>
      <c r="AX188" s="6" t="s">
        <v>682</v>
      </c>
    </row>
    <row r="189" spans="1:50" hidden="1" x14ac:dyDescent="0.2">
      <c r="A189" s="3" t="s">
        <v>175</v>
      </c>
      <c r="B189" s="3" t="s">
        <v>70</v>
      </c>
      <c r="C189" s="3">
        <v>129127730</v>
      </c>
      <c r="D189" s="3" t="s">
        <v>67</v>
      </c>
      <c r="E189" s="3" t="s">
        <v>53</v>
      </c>
      <c r="F189" s="3" t="s">
        <v>46</v>
      </c>
      <c r="G189" s="3" t="s">
        <v>46</v>
      </c>
      <c r="H189" s="3" t="s">
        <v>173</v>
      </c>
      <c r="I189" s="3" t="s">
        <v>48</v>
      </c>
      <c r="J189" s="20" t="s">
        <v>176</v>
      </c>
      <c r="K189" s="3">
        <v>0.41469194312796198</v>
      </c>
      <c r="L189" s="3">
        <v>422</v>
      </c>
      <c r="M189" s="3">
        <v>3.6092111043999999</v>
      </c>
      <c r="N189" s="3">
        <v>8.6939091146567501E-4</v>
      </c>
      <c r="O189" s="3">
        <v>0</v>
      </c>
      <c r="P189" s="3">
        <v>20</v>
      </c>
      <c r="Q189" s="3">
        <v>44</v>
      </c>
      <c r="R189" s="3">
        <v>365</v>
      </c>
      <c r="S189" s="3">
        <v>0</v>
      </c>
      <c r="T189" s="3">
        <v>0</v>
      </c>
      <c r="U189" s="3">
        <v>0</v>
      </c>
      <c r="V189" s="3">
        <v>0</v>
      </c>
      <c r="W189" s="3">
        <v>0</v>
      </c>
      <c r="X189" s="3">
        <v>0</v>
      </c>
      <c r="Y189" s="3">
        <v>0</v>
      </c>
      <c r="Z189" s="3">
        <v>0</v>
      </c>
      <c r="AA189" s="3">
        <v>0</v>
      </c>
      <c r="AB189" s="3">
        <v>0</v>
      </c>
      <c r="AC189" s="3">
        <v>0</v>
      </c>
      <c r="AD189" s="3">
        <v>0.85081585081585098</v>
      </c>
      <c r="AE189" s="3">
        <v>0.102564102564103</v>
      </c>
      <c r="AF189" s="3">
        <v>4.6620046620046603E-2</v>
      </c>
      <c r="AG189" s="3">
        <v>0</v>
      </c>
      <c r="AH189" s="3">
        <v>0</v>
      </c>
      <c r="AI189" s="3">
        <v>0</v>
      </c>
      <c r="AJ189" s="3">
        <v>0.90209790209790197</v>
      </c>
      <c r="AK189" s="3">
        <v>0</v>
      </c>
      <c r="AL189" s="3">
        <v>9.7902097902097904E-2</v>
      </c>
      <c r="AM189" s="3">
        <v>0</v>
      </c>
      <c r="AN189" s="3">
        <v>92.75</v>
      </c>
      <c r="AO189" s="3">
        <v>92.093023255814003</v>
      </c>
      <c r="AP189" s="3">
        <v>94.373259052924794</v>
      </c>
      <c r="AQ189" s="3"/>
      <c r="AR189" s="3"/>
      <c r="AS189" s="3"/>
      <c r="AT189" s="3"/>
      <c r="AU189" s="3"/>
      <c r="AV189" s="3"/>
      <c r="AW189" s="6"/>
      <c r="AX189" s="6"/>
    </row>
    <row r="190" spans="1:50" hidden="1" x14ac:dyDescent="0.2">
      <c r="A190" s="3" t="s">
        <v>356</v>
      </c>
      <c r="B190" s="3" t="s">
        <v>160</v>
      </c>
      <c r="C190" s="3">
        <v>260252102</v>
      </c>
      <c r="D190" s="3" t="s">
        <v>127</v>
      </c>
      <c r="E190" s="3" t="s">
        <v>45</v>
      </c>
      <c r="F190" s="3" t="s">
        <v>53</v>
      </c>
      <c r="G190" s="3" t="s">
        <v>53</v>
      </c>
      <c r="H190" s="3" t="s">
        <v>173</v>
      </c>
      <c r="I190" s="3" t="s">
        <v>369</v>
      </c>
      <c r="J190" s="20" t="s">
        <v>423</v>
      </c>
      <c r="K190" s="3">
        <v>4.8387096774194002E-3</v>
      </c>
      <c r="L190" s="3">
        <v>310</v>
      </c>
      <c r="M190" s="3">
        <v>35.5912657250988</v>
      </c>
      <c r="N190" s="3">
        <v>6.7760005419158402E-3</v>
      </c>
      <c r="O190" s="3">
        <v>0</v>
      </c>
      <c r="P190" s="3">
        <v>0</v>
      </c>
      <c r="Q190" s="3">
        <v>0</v>
      </c>
      <c r="R190" s="3">
        <v>0</v>
      </c>
      <c r="S190" s="3">
        <v>0</v>
      </c>
      <c r="T190" s="3">
        <v>364</v>
      </c>
      <c r="U190" s="3">
        <v>0</v>
      </c>
      <c r="V190" s="3">
        <v>0</v>
      </c>
      <c r="W190" s="3">
        <v>0</v>
      </c>
      <c r="X190" s="3">
        <v>0</v>
      </c>
      <c r="Y190" s="3">
        <v>0</v>
      </c>
      <c r="Z190" s="3">
        <v>0</v>
      </c>
      <c r="AA190" s="3">
        <v>1</v>
      </c>
      <c r="AB190" s="3">
        <v>0</v>
      </c>
      <c r="AC190" s="3">
        <v>0</v>
      </c>
      <c r="AD190" s="3">
        <v>0</v>
      </c>
      <c r="AE190" s="3">
        <v>0</v>
      </c>
      <c r="AF190" s="3">
        <v>0</v>
      </c>
      <c r="AG190" s="3">
        <v>0</v>
      </c>
      <c r="AH190" s="3">
        <v>0</v>
      </c>
      <c r="AI190" s="3">
        <v>0</v>
      </c>
      <c r="AJ190" s="3">
        <v>0</v>
      </c>
      <c r="AK190" s="3">
        <v>0</v>
      </c>
      <c r="AL190" s="3">
        <v>0</v>
      </c>
      <c r="AM190" s="3">
        <v>1</v>
      </c>
      <c r="AN190" s="3" t="s">
        <v>55</v>
      </c>
      <c r="AO190" s="3" t="s">
        <v>55</v>
      </c>
      <c r="AP190" s="3">
        <v>112.487096774194</v>
      </c>
      <c r="AQ190" s="3"/>
      <c r="AR190" s="3"/>
      <c r="AS190" s="3"/>
      <c r="AT190" s="3"/>
      <c r="AU190" s="3"/>
      <c r="AV190" s="3"/>
      <c r="AW190" s="6"/>
      <c r="AX190" s="6"/>
    </row>
    <row r="191" spans="1:50" hidden="1" x14ac:dyDescent="0.2">
      <c r="A191" s="3" t="s">
        <v>424</v>
      </c>
      <c r="B191" s="3" t="s">
        <v>74</v>
      </c>
      <c r="C191" s="3">
        <v>24192893</v>
      </c>
      <c r="D191" s="3" t="s">
        <v>52</v>
      </c>
      <c r="E191" s="3" t="s">
        <v>46</v>
      </c>
      <c r="F191" s="3" t="s">
        <v>53</v>
      </c>
      <c r="G191" s="3" t="s">
        <v>53</v>
      </c>
      <c r="H191" s="3" t="s">
        <v>173</v>
      </c>
      <c r="I191" s="3" t="s">
        <v>369</v>
      </c>
      <c r="J191" s="20" t="s">
        <v>425</v>
      </c>
      <c r="K191" s="3">
        <v>1.6129032258064299E-3</v>
      </c>
      <c r="L191" s="3">
        <v>310</v>
      </c>
      <c r="M191" s="3">
        <v>93.656986588248401</v>
      </c>
      <c r="N191" s="20" t="s">
        <v>426</v>
      </c>
      <c r="O191" s="3">
        <v>0</v>
      </c>
      <c r="P191" s="3">
        <v>147</v>
      </c>
      <c r="Q191" s="3">
        <v>160</v>
      </c>
      <c r="R191" s="3">
        <v>57</v>
      </c>
      <c r="S191" s="3">
        <v>0</v>
      </c>
      <c r="T191" s="3">
        <v>0</v>
      </c>
      <c r="U191" s="3">
        <v>0</v>
      </c>
      <c r="V191" s="3">
        <v>0</v>
      </c>
      <c r="W191" s="3">
        <v>0</v>
      </c>
      <c r="X191" s="3">
        <v>0</v>
      </c>
      <c r="Y191" s="3">
        <v>0</v>
      </c>
      <c r="Z191" s="3">
        <v>0</v>
      </c>
      <c r="AA191" s="3">
        <v>0</v>
      </c>
      <c r="AB191" s="3">
        <v>0</v>
      </c>
      <c r="AC191" s="3">
        <v>0</v>
      </c>
      <c r="AD191" s="3">
        <v>0.15659340659340701</v>
      </c>
      <c r="AE191" s="3">
        <v>0.43956043956044</v>
      </c>
      <c r="AF191" s="3">
        <v>0.40384615384615402</v>
      </c>
      <c r="AG191" s="3">
        <v>0</v>
      </c>
      <c r="AH191" s="3">
        <v>0</v>
      </c>
      <c r="AI191" s="3">
        <v>0</v>
      </c>
      <c r="AJ191" s="3">
        <v>0.37637362637362598</v>
      </c>
      <c r="AK191" s="3">
        <v>0</v>
      </c>
      <c r="AL191" s="3">
        <v>0.62362637362637396</v>
      </c>
      <c r="AM191" s="3">
        <v>0</v>
      </c>
      <c r="AN191" s="3">
        <v>112.452830188679</v>
      </c>
      <c r="AO191" s="3">
        <v>113.76691729323301</v>
      </c>
      <c r="AP191" s="3">
        <v>111.129032258065</v>
      </c>
      <c r="AQ191" s="3"/>
      <c r="AR191" s="3"/>
      <c r="AS191" s="3"/>
      <c r="AT191" s="3"/>
      <c r="AU191" s="3"/>
      <c r="AV191" s="3"/>
      <c r="AW191" s="6"/>
      <c r="AX191" s="6"/>
    </row>
    <row r="192" spans="1:50" hidden="1" x14ac:dyDescent="0.2">
      <c r="A192" s="3" t="s">
        <v>427</v>
      </c>
      <c r="B192" s="3" t="s">
        <v>74</v>
      </c>
      <c r="C192" s="3">
        <v>530680062</v>
      </c>
      <c r="D192" s="3" t="s">
        <v>139</v>
      </c>
      <c r="E192" s="3" t="s">
        <v>46</v>
      </c>
      <c r="F192" s="3" t="s">
        <v>45</v>
      </c>
      <c r="G192" s="3" t="s">
        <v>45</v>
      </c>
      <c r="H192" s="3" t="s">
        <v>173</v>
      </c>
      <c r="I192" s="3" t="s">
        <v>369</v>
      </c>
      <c r="J192" s="20" t="s">
        <v>428</v>
      </c>
      <c r="K192" s="3">
        <v>2.5806451612903201E-2</v>
      </c>
      <c r="L192" s="3">
        <v>310</v>
      </c>
      <c r="M192" s="3">
        <v>17.223261784837401</v>
      </c>
      <c r="N192" s="3">
        <v>4.8954489967003899E-3</v>
      </c>
      <c r="O192" s="3">
        <v>0</v>
      </c>
      <c r="P192" s="3">
        <v>287</v>
      </c>
      <c r="Q192" s="3">
        <v>0</v>
      </c>
      <c r="R192" s="3">
        <v>0</v>
      </c>
      <c r="S192" s="3">
        <v>35</v>
      </c>
      <c r="T192" s="3">
        <v>42</v>
      </c>
      <c r="U192" s="3">
        <v>0</v>
      </c>
      <c r="V192" s="3">
        <v>0</v>
      </c>
      <c r="W192" s="3">
        <v>0</v>
      </c>
      <c r="X192" s="3">
        <v>0</v>
      </c>
      <c r="Y192" s="3">
        <v>0</v>
      </c>
      <c r="Z192" s="3">
        <v>0</v>
      </c>
      <c r="AA192" s="3">
        <v>0.115384615384615</v>
      </c>
      <c r="AB192" s="3">
        <v>0</v>
      </c>
      <c r="AC192" s="3">
        <v>0</v>
      </c>
      <c r="AD192" s="3">
        <v>0</v>
      </c>
      <c r="AE192" s="3">
        <v>0</v>
      </c>
      <c r="AF192" s="3">
        <v>0.78846153846153799</v>
      </c>
      <c r="AG192" s="3">
        <v>9.6153846153846201E-2</v>
      </c>
      <c r="AH192" s="3">
        <v>0</v>
      </c>
      <c r="AI192" s="3">
        <v>0</v>
      </c>
      <c r="AJ192" s="3">
        <v>0</v>
      </c>
      <c r="AK192" s="3">
        <v>0</v>
      </c>
      <c r="AL192" s="3">
        <v>0.83653846153846201</v>
      </c>
      <c r="AM192" s="3">
        <v>0.16346153846153799</v>
      </c>
      <c r="AN192" s="3">
        <v>110.14705882352899</v>
      </c>
      <c r="AO192" s="3">
        <v>120.333333333333</v>
      </c>
      <c r="AP192" s="3">
        <v>111.853658536585</v>
      </c>
      <c r="AQ192" s="3"/>
      <c r="AR192" s="3"/>
      <c r="AS192" s="3"/>
      <c r="AT192" s="3"/>
      <c r="AU192" s="3"/>
      <c r="AV192" s="3"/>
      <c r="AW192" s="6"/>
      <c r="AX192" s="6"/>
    </row>
    <row r="193" spans="1:50" ht="84" hidden="1" x14ac:dyDescent="0.2">
      <c r="A193" s="3" t="s">
        <v>429</v>
      </c>
      <c r="B193" s="3" t="s">
        <v>169</v>
      </c>
      <c r="C193" s="3">
        <v>388713790</v>
      </c>
      <c r="D193" s="3" t="s">
        <v>109</v>
      </c>
      <c r="E193" s="3" t="s">
        <v>59</v>
      </c>
      <c r="F193" s="3" t="s">
        <v>45</v>
      </c>
      <c r="G193" s="3" t="s">
        <v>45</v>
      </c>
      <c r="H193" s="3" t="s">
        <v>173</v>
      </c>
      <c r="I193" s="3" t="s">
        <v>369</v>
      </c>
      <c r="J193" s="20" t="s">
        <v>430</v>
      </c>
      <c r="K193" s="3">
        <v>9.0322580645161299E-2</v>
      </c>
      <c r="L193" s="3">
        <v>310</v>
      </c>
      <c r="M193" s="3">
        <v>8.0633640059129998</v>
      </c>
      <c r="N193" s="3">
        <v>1.0219106179744499E-4</v>
      </c>
      <c r="O193" s="3">
        <v>0</v>
      </c>
      <c r="P193" s="3">
        <v>0</v>
      </c>
      <c r="Q193" s="3">
        <v>0</v>
      </c>
      <c r="R193" s="3">
        <v>0</v>
      </c>
      <c r="S193" s="3">
        <v>0</v>
      </c>
      <c r="T193" s="3">
        <v>12</v>
      </c>
      <c r="U193" s="3">
        <v>115</v>
      </c>
      <c r="V193" s="3">
        <v>0</v>
      </c>
      <c r="W193" s="3">
        <v>237</v>
      </c>
      <c r="X193" s="3">
        <v>0</v>
      </c>
      <c r="Y193" s="3">
        <v>0</v>
      </c>
      <c r="Z193" s="3">
        <v>0.65109890109890101</v>
      </c>
      <c r="AA193" s="3">
        <v>3.2967032967033003E-2</v>
      </c>
      <c r="AB193" s="3">
        <v>0.31593406593406598</v>
      </c>
      <c r="AC193" s="3">
        <v>0</v>
      </c>
      <c r="AD193" s="3">
        <v>0</v>
      </c>
      <c r="AE193" s="3">
        <v>0</v>
      </c>
      <c r="AF193" s="3">
        <v>0</v>
      </c>
      <c r="AG193" s="3">
        <v>0</v>
      </c>
      <c r="AH193" s="3">
        <v>0</v>
      </c>
      <c r="AI193" s="3">
        <v>0</v>
      </c>
      <c r="AJ193" s="3">
        <v>0</v>
      </c>
      <c r="AK193" s="3">
        <v>0.64148351648351598</v>
      </c>
      <c r="AL193" s="3">
        <v>0</v>
      </c>
      <c r="AM193" s="3">
        <v>0.35851648351648402</v>
      </c>
      <c r="AN193" s="3">
        <v>116.25</v>
      </c>
      <c r="AO193" s="3">
        <v>113.787128712871</v>
      </c>
      <c r="AP193" s="3">
        <v>109.28125</v>
      </c>
      <c r="AQ193" s="3" t="s">
        <v>832</v>
      </c>
      <c r="AR193" s="3" t="s">
        <v>833</v>
      </c>
      <c r="AS193" s="3" t="s">
        <v>834</v>
      </c>
      <c r="AT193" s="3" t="s">
        <v>636</v>
      </c>
      <c r="AU193" s="4">
        <v>0.91</v>
      </c>
      <c r="AV193" s="5">
        <v>0.89670000000000005</v>
      </c>
      <c r="AW193" s="11" t="s">
        <v>835</v>
      </c>
      <c r="AX193" s="6" t="s">
        <v>836</v>
      </c>
    </row>
    <row r="194" spans="1:50" hidden="1" x14ac:dyDescent="0.2">
      <c r="A194" s="3" t="s">
        <v>56</v>
      </c>
      <c r="B194" s="3" t="s">
        <v>57</v>
      </c>
      <c r="C194" s="3">
        <v>118524570</v>
      </c>
      <c r="D194" s="3" t="s">
        <v>58</v>
      </c>
      <c r="E194" s="3" t="s">
        <v>46</v>
      </c>
      <c r="F194" s="3" t="s">
        <v>59</v>
      </c>
      <c r="G194" s="3" t="s">
        <v>59</v>
      </c>
      <c r="H194" s="3" t="s">
        <v>47</v>
      </c>
      <c r="I194" s="3" t="s">
        <v>48</v>
      </c>
      <c r="J194" s="20" t="s">
        <v>60</v>
      </c>
      <c r="K194" s="3">
        <v>0.28520286396181399</v>
      </c>
      <c r="L194" s="3">
        <v>419</v>
      </c>
      <c r="M194" s="3">
        <v>2.9328348728348899E-2</v>
      </c>
      <c r="N194" s="20" t="s">
        <v>61</v>
      </c>
      <c r="O194" s="3">
        <v>0</v>
      </c>
      <c r="P194" s="3">
        <v>426</v>
      </c>
      <c r="Q194" s="3">
        <v>0</v>
      </c>
      <c r="R194" s="3">
        <v>0</v>
      </c>
      <c r="S194" s="3">
        <v>0</v>
      </c>
      <c r="T194" s="3">
        <v>0</v>
      </c>
      <c r="U194" s="3">
        <v>0</v>
      </c>
      <c r="V194" s="3">
        <v>3</v>
      </c>
      <c r="W194" s="3">
        <v>0</v>
      </c>
      <c r="X194" s="3">
        <v>0</v>
      </c>
      <c r="Y194" s="3">
        <v>0</v>
      </c>
      <c r="Z194" s="3">
        <v>0</v>
      </c>
      <c r="AA194" s="3">
        <v>0</v>
      </c>
      <c r="AB194" s="3">
        <v>0</v>
      </c>
      <c r="AC194" s="3">
        <v>0</v>
      </c>
      <c r="AD194" s="3">
        <v>0</v>
      </c>
      <c r="AE194" s="3">
        <v>0</v>
      </c>
      <c r="AF194" s="3">
        <v>0.99300699300699302</v>
      </c>
      <c r="AG194" s="3">
        <v>0</v>
      </c>
      <c r="AH194" s="3">
        <v>0</v>
      </c>
      <c r="AI194" s="3">
        <v>6.9930069930069904E-3</v>
      </c>
      <c r="AJ194" s="3">
        <v>0</v>
      </c>
      <c r="AK194" s="3">
        <v>3.4965034965035E-3</v>
      </c>
      <c r="AL194" s="3">
        <v>0.99650349650349701</v>
      </c>
      <c r="AM194" s="3">
        <v>0</v>
      </c>
      <c r="AN194" s="3" t="s">
        <v>55</v>
      </c>
      <c r="AO194" s="3">
        <v>0.69487452000000005</v>
      </c>
      <c r="AP194" s="3">
        <v>0.69687745228365405</v>
      </c>
      <c r="AQ194" s="3"/>
      <c r="AR194" s="3"/>
      <c r="AS194" s="3"/>
      <c r="AT194" s="3"/>
      <c r="AU194" s="3"/>
      <c r="AV194" s="3"/>
      <c r="AW194" s="6"/>
      <c r="AX194" s="6"/>
    </row>
    <row r="195" spans="1:50" hidden="1" x14ac:dyDescent="0.2">
      <c r="A195" s="3" t="s">
        <v>65</v>
      </c>
      <c r="B195" s="3" t="s">
        <v>66</v>
      </c>
      <c r="C195" s="3">
        <v>329197898</v>
      </c>
      <c r="D195" s="3" t="s">
        <v>67</v>
      </c>
      <c r="E195" s="3" t="s">
        <v>46</v>
      </c>
      <c r="F195" s="3" t="s">
        <v>53</v>
      </c>
      <c r="G195" s="3" t="s">
        <v>53</v>
      </c>
      <c r="H195" s="3" t="s">
        <v>47</v>
      </c>
      <c r="I195" s="3" t="s">
        <v>48</v>
      </c>
      <c r="J195" s="20" t="s">
        <v>68</v>
      </c>
      <c r="K195" s="3">
        <v>0.44868735083532202</v>
      </c>
      <c r="L195" s="3">
        <v>419</v>
      </c>
      <c r="M195" s="3">
        <v>2.0040312235243701E-2</v>
      </c>
      <c r="N195" s="3">
        <v>5.2366390465628998E-3</v>
      </c>
      <c r="O195" s="3">
        <v>0</v>
      </c>
      <c r="P195" s="3">
        <v>124</v>
      </c>
      <c r="Q195" s="3">
        <v>207</v>
      </c>
      <c r="R195" s="3">
        <v>98</v>
      </c>
      <c r="S195" s="3">
        <v>0</v>
      </c>
      <c r="T195" s="3">
        <v>0</v>
      </c>
      <c r="U195" s="3">
        <v>0</v>
      </c>
      <c r="V195" s="3">
        <v>0</v>
      </c>
      <c r="W195" s="3">
        <v>0</v>
      </c>
      <c r="X195" s="3">
        <v>0</v>
      </c>
      <c r="Y195" s="3">
        <v>0</v>
      </c>
      <c r="Z195" s="3">
        <v>0</v>
      </c>
      <c r="AA195" s="3">
        <v>0</v>
      </c>
      <c r="AB195" s="3">
        <v>0</v>
      </c>
      <c r="AC195" s="3">
        <v>0</v>
      </c>
      <c r="AD195" s="3">
        <v>0.228438228438228</v>
      </c>
      <c r="AE195" s="3">
        <v>0.482517482517482</v>
      </c>
      <c r="AF195" s="3">
        <v>0.28904428904428903</v>
      </c>
      <c r="AG195" s="3">
        <v>0</v>
      </c>
      <c r="AH195" s="3">
        <v>0</v>
      </c>
      <c r="AI195" s="3">
        <v>0</v>
      </c>
      <c r="AJ195" s="3">
        <v>0.46969696969697</v>
      </c>
      <c r="AK195" s="3">
        <v>0</v>
      </c>
      <c r="AL195" s="3">
        <v>0.53030303030303005</v>
      </c>
      <c r="AM195" s="3">
        <v>0</v>
      </c>
      <c r="AN195" s="3">
        <v>0.69979002450819705</v>
      </c>
      <c r="AO195" s="3">
        <v>0.69690273965174099</v>
      </c>
      <c r="AP195" s="3">
        <v>0.69306052135416696</v>
      </c>
      <c r="AQ195" s="3" t="s">
        <v>837</v>
      </c>
      <c r="AR195" s="3" t="s">
        <v>635</v>
      </c>
      <c r="AS195" s="3" t="s">
        <v>635</v>
      </c>
      <c r="AT195" s="3" t="s">
        <v>636</v>
      </c>
      <c r="AU195" s="4">
        <v>1</v>
      </c>
      <c r="AV195" s="5">
        <v>0.94120000000000004</v>
      </c>
      <c r="AW195" s="6"/>
      <c r="AX195" s="6"/>
    </row>
    <row r="196" spans="1:50" hidden="1" x14ac:dyDescent="0.2">
      <c r="A196" s="3" t="s">
        <v>73</v>
      </c>
      <c r="B196" s="3" t="s">
        <v>74</v>
      </c>
      <c r="C196" s="3">
        <v>7732815</v>
      </c>
      <c r="D196" s="3" t="s">
        <v>44</v>
      </c>
      <c r="E196" s="3" t="s">
        <v>46</v>
      </c>
      <c r="F196" s="3" t="s">
        <v>45</v>
      </c>
      <c r="G196" s="3" t="s">
        <v>46</v>
      </c>
      <c r="H196" s="3" t="s">
        <v>47</v>
      </c>
      <c r="I196" s="3" t="s">
        <v>48</v>
      </c>
      <c r="J196" s="20" t="s">
        <v>75</v>
      </c>
      <c r="K196" s="3">
        <v>6.2052505966587103E-2</v>
      </c>
      <c r="L196" s="3">
        <v>419</v>
      </c>
      <c r="M196" s="3">
        <v>-3.8726355560465102E-2</v>
      </c>
      <c r="N196" s="3">
        <v>5.2366390465628998E-3</v>
      </c>
      <c r="O196" s="3">
        <v>0</v>
      </c>
      <c r="P196" s="3">
        <v>33</v>
      </c>
      <c r="Q196" s="3">
        <v>0</v>
      </c>
      <c r="R196" s="3">
        <v>0</v>
      </c>
      <c r="S196" s="3">
        <v>265</v>
      </c>
      <c r="T196" s="3">
        <v>131</v>
      </c>
      <c r="U196" s="3">
        <v>0</v>
      </c>
      <c r="V196" s="3">
        <v>0</v>
      </c>
      <c r="W196" s="3">
        <v>0</v>
      </c>
      <c r="X196" s="3">
        <v>0</v>
      </c>
      <c r="Y196" s="3">
        <v>0</v>
      </c>
      <c r="Z196" s="3">
        <v>0</v>
      </c>
      <c r="AA196" s="3">
        <v>0.30536130536130501</v>
      </c>
      <c r="AB196" s="3">
        <v>0</v>
      </c>
      <c r="AC196" s="3">
        <v>0</v>
      </c>
      <c r="AD196" s="3">
        <v>0</v>
      </c>
      <c r="AE196" s="3">
        <v>0</v>
      </c>
      <c r="AF196" s="3">
        <v>7.69230769230769E-2</v>
      </c>
      <c r="AG196" s="3">
        <v>0.617715617715618</v>
      </c>
      <c r="AH196" s="3">
        <v>0</v>
      </c>
      <c r="AI196" s="3">
        <v>0</v>
      </c>
      <c r="AJ196" s="3">
        <v>0</v>
      </c>
      <c r="AK196" s="3">
        <v>0</v>
      </c>
      <c r="AL196" s="3">
        <v>0.38578088578088598</v>
      </c>
      <c r="AM196" s="3">
        <v>0.61421911421911402</v>
      </c>
      <c r="AN196" s="3">
        <v>0.68391577354838695</v>
      </c>
      <c r="AO196" s="3">
        <v>0.69663285463320501</v>
      </c>
      <c r="AP196" s="3">
        <v>0.70043678589147296</v>
      </c>
      <c r="AQ196" s="3"/>
      <c r="AR196" s="3"/>
      <c r="AS196" s="3"/>
      <c r="AT196" s="3"/>
      <c r="AU196" s="3"/>
      <c r="AV196" s="3"/>
      <c r="AW196" s="6"/>
      <c r="AX196" s="6"/>
    </row>
    <row r="197" spans="1:50" hidden="1" x14ac:dyDescent="0.2">
      <c r="A197" s="3" t="s">
        <v>134</v>
      </c>
      <c r="B197" s="3" t="s">
        <v>90</v>
      </c>
      <c r="C197" s="3">
        <v>680787718</v>
      </c>
      <c r="D197" s="3" t="s">
        <v>109</v>
      </c>
      <c r="E197" s="3" t="s">
        <v>45</v>
      </c>
      <c r="F197" s="3" t="s">
        <v>59</v>
      </c>
      <c r="G197" s="3" t="s">
        <v>45</v>
      </c>
      <c r="H197" s="3" t="s">
        <v>135</v>
      </c>
      <c r="I197" s="3" t="s">
        <v>48</v>
      </c>
      <c r="J197" s="20" t="s">
        <v>136</v>
      </c>
      <c r="K197" s="3">
        <v>7.6650943396226495E-2</v>
      </c>
      <c r="L197" s="3">
        <v>424</v>
      </c>
      <c r="M197" s="3">
        <v>4.6858060516192399</v>
      </c>
      <c r="N197" s="3">
        <v>1.13136774747029E-3</v>
      </c>
      <c r="O197" s="3">
        <v>0</v>
      </c>
      <c r="P197" s="3">
        <v>0</v>
      </c>
      <c r="Q197" s="3">
        <v>0</v>
      </c>
      <c r="R197" s="3">
        <v>0</v>
      </c>
      <c r="S197" s="3">
        <v>0</v>
      </c>
      <c r="T197" s="3">
        <v>28</v>
      </c>
      <c r="U197" s="3">
        <v>256</v>
      </c>
      <c r="V197" s="3">
        <v>0</v>
      </c>
      <c r="W197" s="3">
        <v>145</v>
      </c>
      <c r="X197" s="3">
        <v>0</v>
      </c>
      <c r="Y197" s="3">
        <v>0</v>
      </c>
      <c r="Z197" s="3">
        <v>0.33799533799533799</v>
      </c>
      <c r="AA197" s="3">
        <v>6.5268065268065306E-2</v>
      </c>
      <c r="AB197" s="3">
        <v>0.59673659673659696</v>
      </c>
      <c r="AC197" s="3">
        <v>0</v>
      </c>
      <c r="AD197" s="3">
        <v>0</v>
      </c>
      <c r="AE197" s="3">
        <v>0</v>
      </c>
      <c r="AF197" s="3">
        <v>0</v>
      </c>
      <c r="AG197" s="3">
        <v>0</v>
      </c>
      <c r="AH197" s="3">
        <v>0</v>
      </c>
      <c r="AI197" s="3">
        <v>0</v>
      </c>
      <c r="AJ197" s="3">
        <v>0</v>
      </c>
      <c r="AK197" s="3">
        <v>0.76573426573426595</v>
      </c>
      <c r="AL197" s="3">
        <v>0</v>
      </c>
      <c r="AM197" s="3">
        <v>0.23426573426573399</v>
      </c>
      <c r="AN197" s="3">
        <v>65.5555555555556</v>
      </c>
      <c r="AO197" s="3">
        <v>68.309859154929597</v>
      </c>
      <c r="AP197" s="3">
        <v>69.843137254902004</v>
      </c>
      <c r="AQ197" s="3"/>
      <c r="AR197" s="3"/>
      <c r="AS197" s="3"/>
      <c r="AT197" s="3"/>
      <c r="AU197" s="3"/>
      <c r="AV197" s="3"/>
      <c r="AW197" s="6"/>
      <c r="AX197" s="6"/>
    </row>
    <row r="198" spans="1:50" hidden="1" x14ac:dyDescent="0.2">
      <c r="A198" s="3" t="s">
        <v>280</v>
      </c>
      <c r="B198" s="3" t="s">
        <v>43</v>
      </c>
      <c r="C198" s="3">
        <v>54110313</v>
      </c>
      <c r="D198" s="3" t="s">
        <v>52</v>
      </c>
      <c r="E198" s="3" t="s">
        <v>46</v>
      </c>
      <c r="F198" s="3" t="s">
        <v>53</v>
      </c>
      <c r="G198" s="3" t="s">
        <v>53</v>
      </c>
      <c r="H198" s="3" t="s">
        <v>135</v>
      </c>
      <c r="I198" s="3" t="s">
        <v>259</v>
      </c>
      <c r="J198" s="20" t="s">
        <v>281</v>
      </c>
      <c r="K198" s="3">
        <v>4.6070460704607102E-2</v>
      </c>
      <c r="L198" s="3">
        <v>369</v>
      </c>
      <c r="M198" s="3">
        <v>6.6360808315227997</v>
      </c>
      <c r="N198" s="3">
        <v>7.0599934156005103E-3</v>
      </c>
      <c r="O198" s="3">
        <v>0</v>
      </c>
      <c r="P198" s="3">
        <v>396</v>
      </c>
      <c r="Q198" s="3">
        <v>29</v>
      </c>
      <c r="R198" s="3">
        <v>4</v>
      </c>
      <c r="S198" s="3">
        <v>0</v>
      </c>
      <c r="T198" s="3">
        <v>0</v>
      </c>
      <c r="U198" s="3">
        <v>0</v>
      </c>
      <c r="V198" s="3">
        <v>0</v>
      </c>
      <c r="W198" s="3">
        <v>0</v>
      </c>
      <c r="X198" s="3">
        <v>0</v>
      </c>
      <c r="Y198" s="3">
        <v>0</v>
      </c>
      <c r="Z198" s="3">
        <v>0</v>
      </c>
      <c r="AA198" s="3">
        <v>0</v>
      </c>
      <c r="AB198" s="3">
        <v>0</v>
      </c>
      <c r="AC198" s="3">
        <v>0</v>
      </c>
      <c r="AD198" s="3">
        <v>9.3240093240093205E-3</v>
      </c>
      <c r="AE198" s="3">
        <v>6.75990675990676E-2</v>
      </c>
      <c r="AF198" s="3">
        <v>0.92307692307692302</v>
      </c>
      <c r="AG198" s="3">
        <v>0</v>
      </c>
      <c r="AH198" s="3">
        <v>0</v>
      </c>
      <c r="AI198" s="3">
        <v>0</v>
      </c>
      <c r="AJ198" s="3">
        <v>4.31235431235431E-2</v>
      </c>
      <c r="AK198" s="3">
        <v>0</v>
      </c>
      <c r="AL198" s="3">
        <v>0.95687645687645695</v>
      </c>
      <c r="AM198" s="3">
        <v>0</v>
      </c>
      <c r="AN198" s="3">
        <v>70</v>
      </c>
      <c r="AO198" s="3">
        <v>71.923076923076906</v>
      </c>
      <c r="AP198" s="3">
        <v>73.362831858407105</v>
      </c>
      <c r="AQ198" s="3" t="s">
        <v>884</v>
      </c>
      <c r="AR198" s="3" t="s">
        <v>635</v>
      </c>
      <c r="AS198" s="3" t="s">
        <v>913</v>
      </c>
      <c r="AT198" s="3"/>
      <c r="AU198" s="3"/>
      <c r="AV198" s="3"/>
      <c r="AW198" s="6"/>
      <c r="AX198" s="6"/>
    </row>
    <row r="199" spans="1:50" hidden="1" x14ac:dyDescent="0.2">
      <c r="A199" s="3" t="s">
        <v>282</v>
      </c>
      <c r="B199" s="3" t="s">
        <v>152</v>
      </c>
      <c r="C199" s="3">
        <v>38100803</v>
      </c>
      <c r="D199" s="3" t="s">
        <v>109</v>
      </c>
      <c r="E199" s="3" t="s">
        <v>59</v>
      </c>
      <c r="F199" s="3" t="s">
        <v>45</v>
      </c>
      <c r="G199" s="3" t="s">
        <v>45</v>
      </c>
      <c r="H199" s="3" t="s">
        <v>135</v>
      </c>
      <c r="I199" s="3" t="s">
        <v>259</v>
      </c>
      <c r="J199" s="20" t="s">
        <v>283</v>
      </c>
      <c r="K199" s="3">
        <v>0.26558265582655799</v>
      </c>
      <c r="L199" s="3">
        <v>369</v>
      </c>
      <c r="M199" s="3">
        <v>-3.8919482482773402</v>
      </c>
      <c r="N199" s="3">
        <v>3.6420525566784002E-3</v>
      </c>
      <c r="O199" s="3">
        <v>0</v>
      </c>
      <c r="P199" s="3">
        <v>0</v>
      </c>
      <c r="Q199" s="3">
        <v>0</v>
      </c>
      <c r="R199" s="3">
        <v>0</v>
      </c>
      <c r="S199" s="3">
        <v>0</v>
      </c>
      <c r="T199" s="3">
        <v>0</v>
      </c>
      <c r="U199" s="3">
        <v>403</v>
      </c>
      <c r="V199" s="3">
        <v>0</v>
      </c>
      <c r="W199" s="3">
        <v>26</v>
      </c>
      <c r="X199" s="3">
        <v>0</v>
      </c>
      <c r="Y199" s="3">
        <v>0</v>
      </c>
      <c r="Z199" s="3">
        <v>6.0606060606060601E-2</v>
      </c>
      <c r="AA199" s="3">
        <v>0</v>
      </c>
      <c r="AB199" s="3">
        <v>0.93939393939394</v>
      </c>
      <c r="AC199" s="3">
        <v>0</v>
      </c>
      <c r="AD199" s="3">
        <v>0</v>
      </c>
      <c r="AE199" s="3">
        <v>0</v>
      </c>
      <c r="AF199" s="3">
        <v>0</v>
      </c>
      <c r="AG199" s="3">
        <v>0</v>
      </c>
      <c r="AH199" s="3">
        <v>0</v>
      </c>
      <c r="AI199" s="3">
        <v>0</v>
      </c>
      <c r="AJ199" s="3">
        <v>0</v>
      </c>
      <c r="AK199" s="3">
        <v>0.96969696969696995</v>
      </c>
      <c r="AL199" s="3">
        <v>0</v>
      </c>
      <c r="AM199" s="3">
        <v>3.03030303030303E-2</v>
      </c>
      <c r="AN199" s="3" t="s">
        <v>55</v>
      </c>
      <c r="AO199" s="3">
        <v>75.4166666666667</v>
      </c>
      <c r="AP199" s="3">
        <v>73.072463768115895</v>
      </c>
      <c r="AQ199" s="3"/>
      <c r="AR199" s="3"/>
      <c r="AS199" s="3"/>
      <c r="AT199" s="3"/>
      <c r="AU199" s="3"/>
      <c r="AV199" s="3"/>
      <c r="AW199" s="6"/>
      <c r="AX199" s="6"/>
    </row>
    <row r="200" spans="1:50" ht="140" hidden="1" x14ac:dyDescent="0.2">
      <c r="A200" s="3" t="s">
        <v>284</v>
      </c>
      <c r="B200" s="3" t="s">
        <v>97</v>
      </c>
      <c r="C200" s="3">
        <v>443036385</v>
      </c>
      <c r="D200" s="3" t="s">
        <v>109</v>
      </c>
      <c r="E200" s="3" t="s">
        <v>45</v>
      </c>
      <c r="F200" s="3" t="s">
        <v>59</v>
      </c>
      <c r="G200" s="3" t="s">
        <v>45</v>
      </c>
      <c r="H200" s="3" t="s">
        <v>135</v>
      </c>
      <c r="I200" s="3" t="s">
        <v>259</v>
      </c>
      <c r="J200" s="20" t="s">
        <v>285</v>
      </c>
      <c r="K200" s="3">
        <v>0.29539295392953901</v>
      </c>
      <c r="L200" s="3">
        <v>369</v>
      </c>
      <c r="M200" s="3">
        <v>-4.0777739834736604</v>
      </c>
      <c r="N200" s="20" t="s">
        <v>286</v>
      </c>
      <c r="O200" s="3">
        <v>0</v>
      </c>
      <c r="P200" s="3">
        <v>0</v>
      </c>
      <c r="Q200" s="3">
        <v>0</v>
      </c>
      <c r="R200" s="3">
        <v>0</v>
      </c>
      <c r="S200" s="3">
        <v>0</v>
      </c>
      <c r="T200" s="3">
        <v>92</v>
      </c>
      <c r="U200" s="3">
        <v>140</v>
      </c>
      <c r="V200" s="3">
        <v>0</v>
      </c>
      <c r="W200" s="3">
        <v>197</v>
      </c>
      <c r="X200" s="3">
        <v>0</v>
      </c>
      <c r="Y200" s="3">
        <v>0</v>
      </c>
      <c r="Z200" s="3">
        <v>0.45920745920745898</v>
      </c>
      <c r="AA200" s="3">
        <v>0.21445221445221399</v>
      </c>
      <c r="AB200" s="3">
        <v>0.326340326340326</v>
      </c>
      <c r="AC200" s="3">
        <v>0</v>
      </c>
      <c r="AD200" s="3">
        <v>0</v>
      </c>
      <c r="AE200" s="3">
        <v>0</v>
      </c>
      <c r="AF200" s="3">
        <v>0</v>
      </c>
      <c r="AG200" s="3">
        <v>0</v>
      </c>
      <c r="AH200" s="3">
        <v>0</v>
      </c>
      <c r="AI200" s="3">
        <v>0</v>
      </c>
      <c r="AJ200" s="3">
        <v>0</v>
      </c>
      <c r="AK200" s="3">
        <v>0.55594405594405605</v>
      </c>
      <c r="AL200" s="3">
        <v>0</v>
      </c>
      <c r="AM200" s="3">
        <v>0.44405594405594401</v>
      </c>
      <c r="AN200" s="3">
        <v>72.692307692307693</v>
      </c>
      <c r="AO200" s="3">
        <v>74.1279069767442</v>
      </c>
      <c r="AP200" s="3">
        <v>72.268907563025195</v>
      </c>
      <c r="AQ200" s="3" t="s">
        <v>885</v>
      </c>
      <c r="AR200" s="3" t="s">
        <v>886</v>
      </c>
      <c r="AS200" s="3" t="s">
        <v>887</v>
      </c>
      <c r="AT200" s="3" t="s">
        <v>636</v>
      </c>
      <c r="AU200" s="4">
        <v>1</v>
      </c>
      <c r="AV200" s="5">
        <v>0.96519999999999995</v>
      </c>
      <c r="AW200" s="10" t="s">
        <v>753</v>
      </c>
      <c r="AX200" s="6" t="s">
        <v>754</v>
      </c>
    </row>
    <row r="201" spans="1:50" hidden="1" x14ac:dyDescent="0.2">
      <c r="A201" s="3" t="s">
        <v>287</v>
      </c>
      <c r="B201" s="3" t="s">
        <v>105</v>
      </c>
      <c r="C201" s="3">
        <v>325276373</v>
      </c>
      <c r="D201" s="3" t="s">
        <v>109</v>
      </c>
      <c r="E201" s="3" t="s">
        <v>59</v>
      </c>
      <c r="F201" s="3" t="s">
        <v>45</v>
      </c>
      <c r="G201" s="3" t="s">
        <v>45</v>
      </c>
      <c r="H201" s="3" t="s">
        <v>135</v>
      </c>
      <c r="I201" s="3" t="s">
        <v>259</v>
      </c>
      <c r="J201" s="20" t="s">
        <v>288</v>
      </c>
      <c r="K201" s="3">
        <v>0.237127371273713</v>
      </c>
      <c r="L201" s="3">
        <v>369</v>
      </c>
      <c r="M201" s="3">
        <v>-3.56156305048223</v>
      </c>
      <c r="N201" s="3">
        <v>3.6420525566784002E-3</v>
      </c>
      <c r="O201" s="3">
        <v>0</v>
      </c>
      <c r="P201" s="3">
        <v>0</v>
      </c>
      <c r="Q201" s="3">
        <v>0</v>
      </c>
      <c r="R201" s="3">
        <v>0</v>
      </c>
      <c r="S201" s="3">
        <v>0</v>
      </c>
      <c r="T201" s="3">
        <v>7</v>
      </c>
      <c r="U201" s="3">
        <v>347</v>
      </c>
      <c r="V201" s="3">
        <v>0</v>
      </c>
      <c r="W201" s="3">
        <v>75</v>
      </c>
      <c r="X201" s="3">
        <v>0</v>
      </c>
      <c r="Y201" s="3">
        <v>0</v>
      </c>
      <c r="Z201" s="3">
        <v>0.17482517482517501</v>
      </c>
      <c r="AA201" s="3">
        <v>1.6317016317016299E-2</v>
      </c>
      <c r="AB201" s="3">
        <v>0.808857808857809</v>
      </c>
      <c r="AC201" s="3">
        <v>0</v>
      </c>
      <c r="AD201" s="3">
        <v>0</v>
      </c>
      <c r="AE201" s="3">
        <v>0</v>
      </c>
      <c r="AF201" s="3">
        <v>0</v>
      </c>
      <c r="AG201" s="3">
        <v>0</v>
      </c>
      <c r="AH201" s="3">
        <v>0</v>
      </c>
      <c r="AI201" s="3">
        <v>0</v>
      </c>
      <c r="AJ201" s="3">
        <v>0</v>
      </c>
      <c r="AK201" s="3">
        <v>0.89627039627039595</v>
      </c>
      <c r="AL201" s="3">
        <v>0</v>
      </c>
      <c r="AM201" s="3">
        <v>0.10372960372960401</v>
      </c>
      <c r="AN201" s="3">
        <v>75</v>
      </c>
      <c r="AO201" s="3">
        <v>71.5625</v>
      </c>
      <c r="AP201" s="3">
        <v>73.554817275747496</v>
      </c>
      <c r="AQ201" s="3"/>
      <c r="AR201" s="3"/>
      <c r="AS201" s="3"/>
      <c r="AT201" s="3"/>
      <c r="AU201" s="3"/>
      <c r="AV201" s="3"/>
      <c r="AW201" s="6"/>
      <c r="AX201" s="6"/>
    </row>
    <row r="202" spans="1:50" ht="98" hidden="1" x14ac:dyDescent="0.2">
      <c r="A202" s="3" t="s">
        <v>289</v>
      </c>
      <c r="B202" s="3" t="s">
        <v>108</v>
      </c>
      <c r="C202" s="3">
        <v>334163944</v>
      </c>
      <c r="D202" s="3" t="s">
        <v>156</v>
      </c>
      <c r="E202" s="3" t="s">
        <v>59</v>
      </c>
      <c r="F202" s="3" t="s">
        <v>53</v>
      </c>
      <c r="G202" s="3" t="s">
        <v>53</v>
      </c>
      <c r="H202" s="3" t="s">
        <v>135</v>
      </c>
      <c r="I202" s="3" t="s">
        <v>259</v>
      </c>
      <c r="J202" s="20" t="s">
        <v>290</v>
      </c>
      <c r="K202" s="3">
        <v>4.8780487804878099E-2</v>
      </c>
      <c r="L202" s="3">
        <v>369</v>
      </c>
      <c r="M202" s="3">
        <v>9.6995008526389501</v>
      </c>
      <c r="N202" s="20" t="s">
        <v>291</v>
      </c>
      <c r="O202" s="3">
        <v>0</v>
      </c>
      <c r="P202" s="3">
        <v>0</v>
      </c>
      <c r="Q202" s="3">
        <v>0</v>
      </c>
      <c r="R202" s="3">
        <v>8</v>
      </c>
      <c r="S202" s="3">
        <v>0</v>
      </c>
      <c r="T202" s="3">
        <v>0</v>
      </c>
      <c r="U202" s="3">
        <v>348</v>
      </c>
      <c r="V202" s="3">
        <v>0</v>
      </c>
      <c r="W202" s="3">
        <v>0</v>
      </c>
      <c r="X202" s="3">
        <v>73</v>
      </c>
      <c r="Y202" s="3">
        <v>0</v>
      </c>
      <c r="Z202" s="3">
        <v>0</v>
      </c>
      <c r="AA202" s="3">
        <v>0</v>
      </c>
      <c r="AB202" s="3">
        <v>0.81118881118881103</v>
      </c>
      <c r="AC202" s="3">
        <v>0.17016317016317001</v>
      </c>
      <c r="AD202" s="3">
        <v>1.8648018648018599E-2</v>
      </c>
      <c r="AE202" s="3">
        <v>0</v>
      </c>
      <c r="AF202" s="3">
        <v>0</v>
      </c>
      <c r="AG202" s="3">
        <v>0</v>
      </c>
      <c r="AH202" s="3">
        <v>0</v>
      </c>
      <c r="AI202" s="3">
        <v>0</v>
      </c>
      <c r="AJ202" s="3">
        <v>0.10372960372960401</v>
      </c>
      <c r="AK202" s="3">
        <v>0.89627039627039595</v>
      </c>
      <c r="AL202" s="3">
        <v>0</v>
      </c>
      <c r="AM202" s="3">
        <v>0</v>
      </c>
      <c r="AN202" s="3">
        <v>72.857142857142904</v>
      </c>
      <c r="AO202" s="3">
        <v>70.151515151515198</v>
      </c>
      <c r="AP202" s="3">
        <v>73.918918918918905</v>
      </c>
      <c r="AQ202" s="3" t="s">
        <v>914</v>
      </c>
      <c r="AR202" s="3"/>
      <c r="AS202" s="3" t="s">
        <v>888</v>
      </c>
      <c r="AT202" s="3" t="s">
        <v>636</v>
      </c>
      <c r="AU202" s="4">
        <v>0.98</v>
      </c>
      <c r="AV202" s="5">
        <v>0.92930000000000001</v>
      </c>
      <c r="AW202" s="10" t="s">
        <v>889</v>
      </c>
      <c r="AX202" s="6" t="s">
        <v>890</v>
      </c>
    </row>
    <row r="203" spans="1:50" hidden="1" x14ac:dyDescent="0.2">
      <c r="A203" s="3" t="s">
        <v>213</v>
      </c>
      <c r="B203" s="3" t="s">
        <v>90</v>
      </c>
      <c r="C203" s="3">
        <v>170760275</v>
      </c>
      <c r="D203" s="3" t="s">
        <v>52</v>
      </c>
      <c r="E203" s="3" t="s">
        <v>46</v>
      </c>
      <c r="F203" s="3" t="s">
        <v>53</v>
      </c>
      <c r="G203" s="3" t="s">
        <v>53</v>
      </c>
      <c r="H203" s="3" t="s">
        <v>214</v>
      </c>
      <c r="I203" s="3" t="s">
        <v>181</v>
      </c>
      <c r="J203" s="20" t="s">
        <v>215</v>
      </c>
      <c r="K203" s="3">
        <v>0.3125</v>
      </c>
      <c r="L203" s="3">
        <v>424</v>
      </c>
      <c r="M203" s="3">
        <v>-0.78719956739064401</v>
      </c>
      <c r="N203" s="3">
        <v>3.9865413254691704E-3</v>
      </c>
      <c r="O203" s="3">
        <v>0</v>
      </c>
      <c r="P203" s="3">
        <v>348</v>
      </c>
      <c r="Q203" s="3">
        <v>73</v>
      </c>
      <c r="R203" s="3">
        <v>8</v>
      </c>
      <c r="S203" s="3">
        <v>0</v>
      </c>
      <c r="T203" s="3">
        <v>0</v>
      </c>
      <c r="U203" s="3">
        <v>0</v>
      </c>
      <c r="V203" s="3">
        <v>0</v>
      </c>
      <c r="W203" s="3">
        <v>0</v>
      </c>
      <c r="X203" s="3">
        <v>0</v>
      </c>
      <c r="Y203" s="3">
        <v>0</v>
      </c>
      <c r="Z203" s="3">
        <v>0</v>
      </c>
      <c r="AA203" s="3">
        <v>0</v>
      </c>
      <c r="AB203" s="3">
        <v>0</v>
      </c>
      <c r="AC203" s="3">
        <v>0</v>
      </c>
      <c r="AD203" s="3">
        <v>1.8648018648018599E-2</v>
      </c>
      <c r="AE203" s="3">
        <v>0.17016317016317001</v>
      </c>
      <c r="AF203" s="3">
        <v>0.81118881118881103</v>
      </c>
      <c r="AG203" s="3">
        <v>0</v>
      </c>
      <c r="AH203" s="3">
        <v>0</v>
      </c>
      <c r="AI203" s="3">
        <v>0</v>
      </c>
      <c r="AJ203" s="3">
        <v>0.10372960372960401</v>
      </c>
      <c r="AK203" s="3">
        <v>0</v>
      </c>
      <c r="AL203" s="3">
        <v>0.89627039627039595</v>
      </c>
      <c r="AM203" s="3">
        <v>0</v>
      </c>
      <c r="AN203" s="3">
        <v>71</v>
      </c>
      <c r="AO203" s="3">
        <v>72.068493150684901</v>
      </c>
      <c r="AP203" s="3">
        <v>72.313953488372107</v>
      </c>
      <c r="AQ203" s="3" t="s">
        <v>891</v>
      </c>
      <c r="AR203" s="3" t="s">
        <v>892</v>
      </c>
      <c r="AS203" s="3" t="s">
        <v>635</v>
      </c>
      <c r="AT203" s="3" t="s">
        <v>636</v>
      </c>
      <c r="AU203" s="4">
        <v>1</v>
      </c>
      <c r="AV203" s="5">
        <v>0.94689999999999996</v>
      </c>
      <c r="AW203" s="6"/>
      <c r="AX203" s="6"/>
    </row>
    <row r="204" spans="1:50" ht="70" hidden="1" x14ac:dyDescent="0.2">
      <c r="A204" s="3" t="s">
        <v>219</v>
      </c>
      <c r="B204" s="3" t="s">
        <v>97</v>
      </c>
      <c r="C204" s="3">
        <v>100855672</v>
      </c>
      <c r="D204" s="3" t="s">
        <v>67</v>
      </c>
      <c r="E204" s="3" t="s">
        <v>46</v>
      </c>
      <c r="F204" s="3" t="s">
        <v>53</v>
      </c>
      <c r="G204" s="3" t="s">
        <v>53</v>
      </c>
      <c r="H204" s="3" t="s">
        <v>214</v>
      </c>
      <c r="I204" s="3" t="s">
        <v>181</v>
      </c>
      <c r="J204" s="20" t="s">
        <v>220</v>
      </c>
      <c r="K204" s="3">
        <v>3.53773584905659E-3</v>
      </c>
      <c r="L204" s="3">
        <v>424</v>
      </c>
      <c r="M204" s="3">
        <v>4.5763426099838398</v>
      </c>
      <c r="N204" s="3">
        <v>5.7706100865728797E-3</v>
      </c>
      <c r="O204" s="3">
        <v>0</v>
      </c>
      <c r="P204" s="3">
        <v>134</v>
      </c>
      <c r="Q204" s="3">
        <v>183</v>
      </c>
      <c r="R204" s="3">
        <v>112</v>
      </c>
      <c r="S204" s="3">
        <v>0</v>
      </c>
      <c r="T204" s="3">
        <v>0</v>
      </c>
      <c r="U204" s="3">
        <v>0</v>
      </c>
      <c r="V204" s="3">
        <v>0</v>
      </c>
      <c r="W204" s="3">
        <v>0</v>
      </c>
      <c r="X204" s="3">
        <v>0</v>
      </c>
      <c r="Y204" s="3">
        <v>0</v>
      </c>
      <c r="Z204" s="3">
        <v>0</v>
      </c>
      <c r="AA204" s="3">
        <v>0</v>
      </c>
      <c r="AB204" s="3">
        <v>0</v>
      </c>
      <c r="AC204" s="3">
        <v>0</v>
      </c>
      <c r="AD204" s="3">
        <v>0.261072261072261</v>
      </c>
      <c r="AE204" s="3">
        <v>0.42657342657342701</v>
      </c>
      <c r="AF204" s="3">
        <v>0.31235431235431199</v>
      </c>
      <c r="AG204" s="3">
        <v>0</v>
      </c>
      <c r="AH204" s="3">
        <v>0</v>
      </c>
      <c r="AI204" s="3">
        <v>0</v>
      </c>
      <c r="AJ204" s="3">
        <v>0.47435897435897401</v>
      </c>
      <c r="AK204" s="3">
        <v>0</v>
      </c>
      <c r="AL204" s="3">
        <v>0.52564102564102599</v>
      </c>
      <c r="AM204" s="3">
        <v>0</v>
      </c>
      <c r="AN204" s="3">
        <v>72.248120300751907</v>
      </c>
      <c r="AO204" s="3">
        <v>72.366666666666703</v>
      </c>
      <c r="AP204" s="3">
        <v>72.063063063063098</v>
      </c>
      <c r="AQ204" s="3" t="s">
        <v>893</v>
      </c>
      <c r="AR204" s="3" t="s">
        <v>894</v>
      </c>
      <c r="AS204" s="3" t="s">
        <v>895</v>
      </c>
      <c r="AT204" s="3" t="s">
        <v>636</v>
      </c>
      <c r="AU204" s="4">
        <v>0.97</v>
      </c>
      <c r="AV204" s="5">
        <v>0.92859999999999998</v>
      </c>
      <c r="AW204" s="10" t="s">
        <v>896</v>
      </c>
      <c r="AX204" s="6" t="s">
        <v>897</v>
      </c>
    </row>
    <row r="205" spans="1:50" ht="98" hidden="1" x14ac:dyDescent="0.2">
      <c r="A205" s="3" t="s">
        <v>221</v>
      </c>
      <c r="B205" s="3" t="s">
        <v>97</v>
      </c>
      <c r="C205" s="3">
        <v>393839387</v>
      </c>
      <c r="D205" s="3" t="s">
        <v>71</v>
      </c>
      <c r="E205" s="3" t="s">
        <v>45</v>
      </c>
      <c r="F205" s="3" t="s">
        <v>59</v>
      </c>
      <c r="G205" s="3" t="s">
        <v>59</v>
      </c>
      <c r="H205" s="3" t="s">
        <v>214</v>
      </c>
      <c r="I205" s="3" t="s">
        <v>181</v>
      </c>
      <c r="J205" s="20" t="s">
        <v>222</v>
      </c>
      <c r="K205" s="3">
        <v>1.1792452830188299E-3</v>
      </c>
      <c r="L205" s="3">
        <v>424</v>
      </c>
      <c r="M205" s="3">
        <v>9.72116722035571</v>
      </c>
      <c r="N205" s="3">
        <v>2.4195543383419499E-4</v>
      </c>
      <c r="O205" s="3">
        <v>0</v>
      </c>
      <c r="P205" s="3">
        <v>0</v>
      </c>
      <c r="Q205" s="3">
        <v>0</v>
      </c>
      <c r="R205" s="3">
        <v>0</v>
      </c>
      <c r="S205" s="3">
        <v>0</v>
      </c>
      <c r="T205" s="3">
        <v>383</v>
      </c>
      <c r="U205" s="3">
        <v>12</v>
      </c>
      <c r="V205" s="3">
        <v>0</v>
      </c>
      <c r="W205" s="3">
        <v>34</v>
      </c>
      <c r="X205" s="3">
        <v>0</v>
      </c>
      <c r="Y205" s="3">
        <v>0</v>
      </c>
      <c r="Z205" s="3">
        <v>7.9254079254079193E-2</v>
      </c>
      <c r="AA205" s="3">
        <v>0.89277389277389296</v>
      </c>
      <c r="AB205" s="3">
        <v>2.7972027972028E-2</v>
      </c>
      <c r="AC205" s="3">
        <v>0</v>
      </c>
      <c r="AD205" s="3">
        <v>0</v>
      </c>
      <c r="AE205" s="3">
        <v>0</v>
      </c>
      <c r="AF205" s="3">
        <v>0</v>
      </c>
      <c r="AG205" s="3">
        <v>0</v>
      </c>
      <c r="AH205" s="3">
        <v>0</v>
      </c>
      <c r="AI205" s="3">
        <v>0</v>
      </c>
      <c r="AJ205" s="3">
        <v>0</v>
      </c>
      <c r="AK205" s="3">
        <v>6.75990675990676E-2</v>
      </c>
      <c r="AL205" s="3">
        <v>0</v>
      </c>
      <c r="AM205" s="3">
        <v>0.93240093240093203</v>
      </c>
      <c r="AN205" s="3">
        <v>70.6666666666667</v>
      </c>
      <c r="AO205" s="3">
        <v>72.352941176470594</v>
      </c>
      <c r="AP205" s="3">
        <v>72.291005291005305</v>
      </c>
      <c r="AQ205" s="3" t="s">
        <v>914</v>
      </c>
      <c r="AR205" s="3"/>
      <c r="AS205" s="3" t="s">
        <v>898</v>
      </c>
      <c r="AT205" s="3" t="s">
        <v>636</v>
      </c>
      <c r="AU205" s="4">
        <v>1</v>
      </c>
      <c r="AV205" s="5">
        <v>0.91539999999999999</v>
      </c>
      <c r="AW205" s="10" t="s">
        <v>889</v>
      </c>
      <c r="AX205" s="6" t="s">
        <v>890</v>
      </c>
    </row>
    <row r="206" spans="1:50" hidden="1" x14ac:dyDescent="0.2">
      <c r="A206" s="3" t="s">
        <v>223</v>
      </c>
      <c r="B206" s="3" t="s">
        <v>224</v>
      </c>
      <c r="C206" s="3">
        <v>140782902</v>
      </c>
      <c r="D206" s="3" t="s">
        <v>225</v>
      </c>
      <c r="E206" s="3" t="s">
        <v>59</v>
      </c>
      <c r="F206" s="3" t="s">
        <v>46</v>
      </c>
      <c r="G206" s="3" t="s">
        <v>46</v>
      </c>
      <c r="H206" s="3" t="s">
        <v>214</v>
      </c>
      <c r="I206" s="3" t="s">
        <v>181</v>
      </c>
      <c r="J206" s="20" t="s">
        <v>226</v>
      </c>
      <c r="K206" s="3">
        <v>0.26533018867924502</v>
      </c>
      <c r="L206" s="3">
        <v>424</v>
      </c>
      <c r="M206" s="3">
        <v>-0.53258447330222203</v>
      </c>
      <c r="N206" s="3">
        <v>5.4626965176515297E-3</v>
      </c>
      <c r="O206" s="3">
        <v>0</v>
      </c>
      <c r="P206" s="3">
        <v>27</v>
      </c>
      <c r="Q206" s="3">
        <v>0</v>
      </c>
      <c r="R206" s="3">
        <v>0</v>
      </c>
      <c r="S206" s="3">
        <v>0</v>
      </c>
      <c r="T206" s="3">
        <v>0</v>
      </c>
      <c r="U206" s="3">
        <v>251</v>
      </c>
      <c r="V206" s="3">
        <v>151</v>
      </c>
      <c r="W206" s="3">
        <v>0</v>
      </c>
      <c r="X206" s="3">
        <v>0</v>
      </c>
      <c r="Y206" s="3">
        <v>0</v>
      </c>
      <c r="Z206" s="3">
        <v>0</v>
      </c>
      <c r="AA206" s="3">
        <v>0</v>
      </c>
      <c r="AB206" s="3">
        <v>0.58508158508158503</v>
      </c>
      <c r="AC206" s="3">
        <v>0</v>
      </c>
      <c r="AD206" s="3">
        <v>0</v>
      </c>
      <c r="AE206" s="3">
        <v>0</v>
      </c>
      <c r="AF206" s="3">
        <v>6.2937062937062901E-2</v>
      </c>
      <c r="AG206" s="3">
        <v>0</v>
      </c>
      <c r="AH206" s="3">
        <v>0</v>
      </c>
      <c r="AI206" s="3">
        <v>0.351981351981352</v>
      </c>
      <c r="AJ206" s="3">
        <v>0</v>
      </c>
      <c r="AK206" s="3">
        <v>0.761072261072261</v>
      </c>
      <c r="AL206" s="3">
        <v>0.238927738927739</v>
      </c>
      <c r="AM206" s="3">
        <v>0</v>
      </c>
      <c r="AN206" s="3">
        <v>72.925925925925895</v>
      </c>
      <c r="AO206" s="3">
        <v>72.073825503355707</v>
      </c>
      <c r="AP206" s="3">
        <v>72.2822580645161</v>
      </c>
      <c r="AQ206" s="3"/>
      <c r="AR206" s="3"/>
      <c r="AS206" s="3"/>
      <c r="AT206" s="3"/>
      <c r="AU206" s="3"/>
      <c r="AV206" s="3"/>
      <c r="AW206" s="6"/>
      <c r="AX206" s="6"/>
    </row>
    <row r="207" spans="1:50" ht="70" hidden="1" x14ac:dyDescent="0.2">
      <c r="A207" s="3" t="s">
        <v>396</v>
      </c>
      <c r="B207" s="3" t="s">
        <v>57</v>
      </c>
      <c r="C207" s="3">
        <v>611922552</v>
      </c>
      <c r="D207" s="3" t="s">
        <v>52</v>
      </c>
      <c r="E207" s="3" t="s">
        <v>46</v>
      </c>
      <c r="F207" s="3" t="s">
        <v>53</v>
      </c>
      <c r="G207" s="3" t="s">
        <v>53</v>
      </c>
      <c r="H207" s="3" t="s">
        <v>214</v>
      </c>
      <c r="I207" s="3" t="s">
        <v>369</v>
      </c>
      <c r="J207" s="20" t="s">
        <v>397</v>
      </c>
      <c r="K207" s="3">
        <v>2.4922118380062301E-2</v>
      </c>
      <c r="L207" s="3">
        <v>321</v>
      </c>
      <c r="M207" s="3">
        <v>5.4621827986588896</v>
      </c>
      <c r="N207" s="3">
        <v>9.3026884333581204E-4</v>
      </c>
      <c r="O207" s="3">
        <v>0</v>
      </c>
      <c r="P207" s="3">
        <v>364</v>
      </c>
      <c r="Q207" s="3">
        <v>0</v>
      </c>
      <c r="R207" s="3">
        <v>0</v>
      </c>
      <c r="S207" s="3">
        <v>0</v>
      </c>
      <c r="T207" s="3">
        <v>0</v>
      </c>
      <c r="U207" s="3">
        <v>0</v>
      </c>
      <c r="V207" s="3">
        <v>0</v>
      </c>
      <c r="W207" s="3">
        <v>0</v>
      </c>
      <c r="X207" s="3">
        <v>0</v>
      </c>
      <c r="Y207" s="3">
        <v>0</v>
      </c>
      <c r="Z207" s="3">
        <v>0</v>
      </c>
      <c r="AA207" s="3">
        <v>0</v>
      </c>
      <c r="AB207" s="3">
        <v>0</v>
      </c>
      <c r="AC207" s="3">
        <v>0</v>
      </c>
      <c r="AD207" s="3">
        <v>0</v>
      </c>
      <c r="AE207" s="3">
        <v>0</v>
      </c>
      <c r="AF207" s="3">
        <v>1</v>
      </c>
      <c r="AG207" s="3">
        <v>0</v>
      </c>
      <c r="AH207" s="3">
        <v>0</v>
      </c>
      <c r="AI207" s="3">
        <v>0</v>
      </c>
      <c r="AJ207" s="3">
        <v>0</v>
      </c>
      <c r="AK207" s="3">
        <v>0</v>
      </c>
      <c r="AL207" s="3">
        <v>1</v>
      </c>
      <c r="AM207" s="3">
        <v>0</v>
      </c>
      <c r="AN207" s="3" t="s">
        <v>55</v>
      </c>
      <c r="AO207" s="3" t="s">
        <v>55</v>
      </c>
      <c r="AP207" s="3">
        <v>67.380062305295993</v>
      </c>
      <c r="AQ207" s="3" t="s">
        <v>914</v>
      </c>
      <c r="AR207" s="3"/>
      <c r="AS207" s="3" t="s">
        <v>901</v>
      </c>
      <c r="AT207" s="3" t="s">
        <v>902</v>
      </c>
      <c r="AU207" s="3" t="s">
        <v>903</v>
      </c>
      <c r="AV207" s="3" t="s">
        <v>904</v>
      </c>
      <c r="AW207" s="10" t="s">
        <v>905</v>
      </c>
      <c r="AX207" s="6" t="s">
        <v>906</v>
      </c>
    </row>
    <row r="208" spans="1:50" hidden="1" x14ac:dyDescent="0.2">
      <c r="A208" s="3" t="s">
        <v>398</v>
      </c>
      <c r="B208" s="3" t="s">
        <v>120</v>
      </c>
      <c r="C208" s="3">
        <v>103986355</v>
      </c>
      <c r="D208" s="3" t="s">
        <v>85</v>
      </c>
      <c r="E208" s="3" t="s">
        <v>53</v>
      </c>
      <c r="F208" s="3" t="s">
        <v>45</v>
      </c>
      <c r="G208" s="3" t="s">
        <v>45</v>
      </c>
      <c r="H208" s="3" t="s">
        <v>214</v>
      </c>
      <c r="I208" s="3" t="s">
        <v>369</v>
      </c>
      <c r="J208" s="20" t="s">
        <v>399</v>
      </c>
      <c r="K208" s="3">
        <v>1.2461059190031199E-2</v>
      </c>
      <c r="L208" s="3">
        <v>321</v>
      </c>
      <c r="M208" s="3">
        <v>5.14495421049926</v>
      </c>
      <c r="N208" s="3">
        <v>9.3026884333581204E-4</v>
      </c>
      <c r="O208" s="3">
        <v>0</v>
      </c>
      <c r="P208" s="3">
        <v>0</v>
      </c>
      <c r="Q208" s="3">
        <v>0</v>
      </c>
      <c r="R208" s="3">
        <v>263</v>
      </c>
      <c r="S208" s="3">
        <v>0</v>
      </c>
      <c r="T208" s="3">
        <v>17</v>
      </c>
      <c r="U208" s="3">
        <v>0</v>
      </c>
      <c r="V208" s="3">
        <v>0</v>
      </c>
      <c r="W208" s="3">
        <v>0</v>
      </c>
      <c r="X208" s="3">
        <v>0</v>
      </c>
      <c r="Y208" s="3">
        <v>84</v>
      </c>
      <c r="Z208" s="3">
        <v>0</v>
      </c>
      <c r="AA208" s="3">
        <v>4.6703296703296697E-2</v>
      </c>
      <c r="AB208" s="3">
        <v>0</v>
      </c>
      <c r="AC208" s="3">
        <v>0</v>
      </c>
      <c r="AD208" s="3">
        <v>0.72252747252747296</v>
      </c>
      <c r="AE208" s="3">
        <v>0</v>
      </c>
      <c r="AF208" s="3">
        <v>0</v>
      </c>
      <c r="AG208" s="3">
        <v>0</v>
      </c>
      <c r="AH208" s="3">
        <v>0.230769230769231</v>
      </c>
      <c r="AI208" s="3">
        <v>0</v>
      </c>
      <c r="AJ208" s="3">
        <v>0.83791208791208804</v>
      </c>
      <c r="AK208" s="3">
        <v>0</v>
      </c>
      <c r="AL208" s="3">
        <v>0</v>
      </c>
      <c r="AM208" s="3">
        <v>0.16208791208791201</v>
      </c>
      <c r="AN208" s="3">
        <v>66.3333333333333</v>
      </c>
      <c r="AO208" s="3">
        <v>68.098591549295804</v>
      </c>
      <c r="AP208" s="3">
        <v>67.229787234042504</v>
      </c>
      <c r="AQ208" s="3" t="s">
        <v>914</v>
      </c>
      <c r="AR208" s="3"/>
      <c r="AS208" s="3" t="s">
        <v>907</v>
      </c>
      <c r="AT208" s="3" t="s">
        <v>653</v>
      </c>
      <c r="AU208" s="4">
        <v>0.89</v>
      </c>
      <c r="AV208" s="5">
        <v>0.91620000000000001</v>
      </c>
      <c r="AW208" s="6"/>
      <c r="AX208" s="6"/>
    </row>
    <row r="209" spans="1:50" hidden="1" x14ac:dyDescent="0.2">
      <c r="A209" s="3" t="s">
        <v>400</v>
      </c>
      <c r="B209" s="3" t="s">
        <v>74</v>
      </c>
      <c r="C209" s="3">
        <v>501741056</v>
      </c>
      <c r="D209" s="3" t="s">
        <v>109</v>
      </c>
      <c r="E209" s="3" t="s">
        <v>45</v>
      </c>
      <c r="F209" s="3" t="s">
        <v>59</v>
      </c>
      <c r="G209" s="3" t="s">
        <v>45</v>
      </c>
      <c r="H209" s="3" t="s">
        <v>214</v>
      </c>
      <c r="I209" s="3" t="s">
        <v>369</v>
      </c>
      <c r="J209" s="20" t="s">
        <v>401</v>
      </c>
      <c r="K209" s="3">
        <v>1.5576323987538899E-2</v>
      </c>
      <c r="L209" s="3">
        <v>321</v>
      </c>
      <c r="M209" s="3">
        <v>7.7079790312564</v>
      </c>
      <c r="N209" s="3">
        <v>9.3026884333581204E-4</v>
      </c>
      <c r="O209" s="3">
        <v>0</v>
      </c>
      <c r="P209" s="3">
        <v>0</v>
      </c>
      <c r="Q209" s="3">
        <v>0</v>
      </c>
      <c r="R209" s="3">
        <v>0</v>
      </c>
      <c r="S209" s="3">
        <v>0</v>
      </c>
      <c r="T209" s="3">
        <v>39</v>
      </c>
      <c r="U209" s="3">
        <v>271</v>
      </c>
      <c r="V209" s="3">
        <v>0</v>
      </c>
      <c r="W209" s="3">
        <v>54</v>
      </c>
      <c r="X209" s="3">
        <v>0</v>
      </c>
      <c r="Y209" s="3">
        <v>0</v>
      </c>
      <c r="Z209" s="3">
        <v>0.14835164835164799</v>
      </c>
      <c r="AA209" s="3">
        <v>0.107142857142857</v>
      </c>
      <c r="AB209" s="3">
        <v>0.74450549450549497</v>
      </c>
      <c r="AC209" s="3">
        <v>0</v>
      </c>
      <c r="AD209" s="3">
        <v>0</v>
      </c>
      <c r="AE209" s="3">
        <v>0</v>
      </c>
      <c r="AF209" s="3">
        <v>0</v>
      </c>
      <c r="AG209" s="3">
        <v>0</v>
      </c>
      <c r="AH209" s="3">
        <v>0</v>
      </c>
      <c r="AI209" s="3">
        <v>0</v>
      </c>
      <c r="AJ209" s="3">
        <v>0</v>
      </c>
      <c r="AK209" s="3">
        <v>0.81868131868131899</v>
      </c>
      <c r="AL209" s="3">
        <v>0</v>
      </c>
      <c r="AM209" s="3">
        <v>0.18131868131868101</v>
      </c>
      <c r="AN209" s="3">
        <v>65.918918918918905</v>
      </c>
      <c r="AO209" s="3">
        <v>67.976744186046503</v>
      </c>
      <c r="AP209" s="3">
        <v>67.497925311203304</v>
      </c>
      <c r="AQ209" s="3"/>
      <c r="AR209" s="3"/>
      <c r="AS209" s="3"/>
      <c r="AT209" s="3"/>
      <c r="AU209" s="3"/>
      <c r="AV209" s="3"/>
      <c r="AW209" s="6"/>
      <c r="AX209" s="6"/>
    </row>
    <row r="210" spans="1:50" ht="98" hidden="1" x14ac:dyDescent="0.2">
      <c r="A210" s="3" t="s">
        <v>516</v>
      </c>
      <c r="B210" s="3" t="s">
        <v>74</v>
      </c>
      <c r="C210" s="3">
        <v>442280490</v>
      </c>
      <c r="D210" s="3" t="s">
        <v>67</v>
      </c>
      <c r="E210" s="3" t="s">
        <v>53</v>
      </c>
      <c r="F210" s="3" t="s">
        <v>46</v>
      </c>
      <c r="G210" s="3" t="s">
        <v>46</v>
      </c>
      <c r="H210" s="3" t="s">
        <v>214</v>
      </c>
      <c r="I210" s="3" t="s">
        <v>432</v>
      </c>
      <c r="J210" s="20" t="s">
        <v>517</v>
      </c>
      <c r="K210" s="3">
        <v>0.161392405063291</v>
      </c>
      <c r="L210" s="3">
        <v>316</v>
      </c>
      <c r="M210" s="3">
        <v>2.0718412602274201</v>
      </c>
      <c r="N210" s="3">
        <v>5.2227285189243404E-4</v>
      </c>
      <c r="O210" s="3">
        <v>0</v>
      </c>
      <c r="P210" s="3">
        <v>6</v>
      </c>
      <c r="Q210" s="3">
        <v>14</v>
      </c>
      <c r="R210" s="3">
        <v>337</v>
      </c>
      <c r="S210" s="3">
        <v>0</v>
      </c>
      <c r="T210" s="3">
        <v>0</v>
      </c>
      <c r="U210" s="3">
        <v>0</v>
      </c>
      <c r="V210" s="3">
        <v>0</v>
      </c>
      <c r="W210" s="3">
        <v>0</v>
      </c>
      <c r="X210" s="3">
        <v>0</v>
      </c>
      <c r="Y210" s="3">
        <v>0</v>
      </c>
      <c r="Z210" s="3">
        <v>0</v>
      </c>
      <c r="AA210" s="3">
        <v>0</v>
      </c>
      <c r="AB210" s="3">
        <v>0</v>
      </c>
      <c r="AC210" s="3">
        <v>0</v>
      </c>
      <c r="AD210" s="3">
        <v>0.94397759103641499</v>
      </c>
      <c r="AE210" s="3">
        <v>3.9215686274509803E-2</v>
      </c>
      <c r="AF210" s="3">
        <v>1.6806722689075598E-2</v>
      </c>
      <c r="AG210" s="3">
        <v>0</v>
      </c>
      <c r="AH210" s="3">
        <v>0</v>
      </c>
      <c r="AI210" s="3">
        <v>0</v>
      </c>
      <c r="AJ210" s="3">
        <v>0.96358543417367004</v>
      </c>
      <c r="AK210" s="3">
        <v>0</v>
      </c>
      <c r="AL210" s="3">
        <v>3.64145658263305E-2</v>
      </c>
      <c r="AM210" s="3">
        <v>0</v>
      </c>
      <c r="AN210" s="3">
        <v>64</v>
      </c>
      <c r="AO210" s="3">
        <v>64.6666666666667</v>
      </c>
      <c r="AP210" s="3">
        <v>62.986577181207998</v>
      </c>
      <c r="AQ210" s="3" t="s">
        <v>908</v>
      </c>
      <c r="AR210" s="3" t="s">
        <v>909</v>
      </c>
      <c r="AS210" s="3" t="s">
        <v>910</v>
      </c>
      <c r="AT210" s="3" t="s">
        <v>636</v>
      </c>
      <c r="AU210" s="4">
        <v>0.9</v>
      </c>
      <c r="AV210" s="5">
        <v>0.96699999999999997</v>
      </c>
      <c r="AW210" s="8" t="s">
        <v>911</v>
      </c>
      <c r="AX210" s="6" t="s">
        <v>935</v>
      </c>
    </row>
    <row r="211" spans="1:50" hidden="1" x14ac:dyDescent="0.2">
      <c r="A211" s="3" t="s">
        <v>612</v>
      </c>
      <c r="B211" s="3" t="s">
        <v>100</v>
      </c>
      <c r="C211" s="3">
        <v>501885161</v>
      </c>
      <c r="D211" s="3" t="s">
        <v>71</v>
      </c>
      <c r="E211" s="3" t="s">
        <v>59</v>
      </c>
      <c r="F211" s="3" t="s">
        <v>45</v>
      </c>
      <c r="G211" s="3" t="s">
        <v>59</v>
      </c>
      <c r="H211" s="3" t="s">
        <v>214</v>
      </c>
      <c r="I211" s="3" t="s">
        <v>519</v>
      </c>
      <c r="J211" s="20" t="s">
        <v>613</v>
      </c>
      <c r="K211" s="3">
        <v>4.5317220543806602E-2</v>
      </c>
      <c r="L211" s="3">
        <v>331</v>
      </c>
      <c r="M211" s="3">
        <v>1.91866137286297</v>
      </c>
      <c r="N211" s="3">
        <v>2.0897461564489501E-3</v>
      </c>
      <c r="O211" s="3">
        <v>0</v>
      </c>
      <c r="P211" s="3">
        <v>0</v>
      </c>
      <c r="Q211" s="3">
        <v>0</v>
      </c>
      <c r="R211" s="3">
        <v>0</v>
      </c>
      <c r="S211" s="3">
        <v>0</v>
      </c>
      <c r="T211" s="3">
        <v>151</v>
      </c>
      <c r="U211" s="3">
        <v>16</v>
      </c>
      <c r="V211" s="3">
        <v>0</v>
      </c>
      <c r="W211" s="3">
        <v>190</v>
      </c>
      <c r="X211" s="3">
        <v>0</v>
      </c>
      <c r="Y211" s="3">
        <v>0</v>
      </c>
      <c r="Z211" s="3">
        <v>0.53221288515406195</v>
      </c>
      <c r="AA211" s="3">
        <v>0.42296918767507002</v>
      </c>
      <c r="AB211" s="3">
        <v>4.4817927170868299E-2</v>
      </c>
      <c r="AC211" s="3">
        <v>0</v>
      </c>
      <c r="AD211" s="3">
        <v>0</v>
      </c>
      <c r="AE211" s="3">
        <v>0</v>
      </c>
      <c r="AF211" s="3">
        <v>0</v>
      </c>
      <c r="AG211" s="3">
        <v>0</v>
      </c>
      <c r="AH211" s="3">
        <v>0</v>
      </c>
      <c r="AI211" s="3">
        <v>0</v>
      </c>
      <c r="AJ211" s="3">
        <v>0</v>
      </c>
      <c r="AK211" s="3">
        <v>0.310924369747899</v>
      </c>
      <c r="AL211" s="3">
        <v>0</v>
      </c>
      <c r="AM211" s="3">
        <v>0.68907563025210095</v>
      </c>
      <c r="AN211" s="3">
        <v>74.2</v>
      </c>
      <c r="AO211" s="3">
        <v>74.539325842696599</v>
      </c>
      <c r="AP211" s="3">
        <v>74.195652173913004</v>
      </c>
      <c r="AQ211" s="3"/>
      <c r="AR211" s="3"/>
      <c r="AS211" s="3"/>
      <c r="AT211" s="3"/>
      <c r="AU211" s="3"/>
      <c r="AV211" s="3"/>
      <c r="AW211" s="6"/>
      <c r="AX211" s="6"/>
    </row>
    <row r="212" spans="1:50" hidden="1" x14ac:dyDescent="0.2"/>
    <row r="213" spans="1:50" hidden="1" x14ac:dyDescent="0.2"/>
    <row r="214" spans="1:50" hidden="1" x14ac:dyDescent="0.2"/>
    <row r="215" spans="1:50" hidden="1" x14ac:dyDescent="0.2">
      <c r="AU215" s="1"/>
      <c r="AV215" s="2"/>
    </row>
    <row r="216" spans="1:50" hidden="1" x14ac:dyDescent="0.2">
      <c r="AU216" s="1"/>
      <c r="AV216" s="2"/>
    </row>
    <row r="217" spans="1:50" hidden="1" x14ac:dyDescent="0.2">
      <c r="AU217" s="1"/>
      <c r="AV217" s="1"/>
    </row>
    <row r="218" spans="1:50" hidden="1" x14ac:dyDescent="0.2">
      <c r="AU218" s="1"/>
      <c r="AV218" s="2"/>
    </row>
    <row r="219" spans="1:50" hidden="1" x14ac:dyDescent="0.2"/>
    <row r="220" spans="1:50" hidden="1" x14ac:dyDescent="0.2"/>
    <row r="221" spans="1:50" hidden="1" x14ac:dyDescent="0.2">
      <c r="AU221" s="1"/>
      <c r="AV221" s="2"/>
    </row>
    <row r="222" spans="1:50" hidden="1" x14ac:dyDescent="0.2"/>
    <row r="223" spans="1:50" hidden="1" x14ac:dyDescent="0.2">
      <c r="AU223" s="1"/>
      <c r="AV223" s="2"/>
    </row>
    <row r="224" spans="1:50" hidden="1" x14ac:dyDescent="0.2"/>
    <row r="225" spans="47:48" hidden="1" x14ac:dyDescent="0.2"/>
    <row r="226" spans="47:48" hidden="1" x14ac:dyDescent="0.2">
      <c r="AU226" s="1"/>
      <c r="AV226" s="2"/>
    </row>
    <row r="227" spans="47:48" hidden="1" x14ac:dyDescent="0.2">
      <c r="AU227" s="1"/>
      <c r="AV227" s="2"/>
    </row>
    <row r="228" spans="47:48" hidden="1" x14ac:dyDescent="0.2"/>
    <row r="229" spans="47:48" hidden="1" x14ac:dyDescent="0.2"/>
    <row r="230" spans="47:48" hidden="1" x14ac:dyDescent="0.2">
      <c r="AU230" s="1"/>
      <c r="AV230" s="2"/>
    </row>
    <row r="231" spans="47:48" hidden="1" x14ac:dyDescent="0.2"/>
    <row r="232" spans="47:48" hidden="1" x14ac:dyDescent="0.2"/>
    <row r="233" spans="47:48" hidden="1" x14ac:dyDescent="0.2">
      <c r="AU233" s="1"/>
      <c r="AV233" s="2"/>
    </row>
    <row r="234" spans="47:48" hidden="1" x14ac:dyDescent="0.2"/>
    <row r="235" spans="47:48" hidden="1" x14ac:dyDescent="0.2"/>
    <row r="236" spans="47:48" hidden="1" x14ac:dyDescent="0.2">
      <c r="AU236" s="1"/>
      <c r="AV236" s="2"/>
    </row>
    <row r="237" spans="47:48" hidden="1" x14ac:dyDescent="0.2"/>
    <row r="238" spans="47:48" hidden="1" x14ac:dyDescent="0.2"/>
    <row r="239" spans="47:48" hidden="1" x14ac:dyDescent="0.2"/>
    <row r="240" spans="47:48" hidden="1" x14ac:dyDescent="0.2"/>
    <row r="241" spans="47:48" hidden="1" x14ac:dyDescent="0.2"/>
    <row r="242" spans="47:48" hidden="1" x14ac:dyDescent="0.2"/>
    <row r="243" spans="47:48" hidden="1" x14ac:dyDescent="0.2"/>
    <row r="244" spans="47:48" hidden="1" x14ac:dyDescent="0.2">
      <c r="AU244" s="1"/>
      <c r="AV244" s="2"/>
    </row>
    <row r="245" spans="47:48" hidden="1" x14ac:dyDescent="0.2"/>
    <row r="246" spans="47:48" hidden="1" x14ac:dyDescent="0.2">
      <c r="AU246" s="1"/>
      <c r="AV246" s="2"/>
    </row>
    <row r="247" spans="47:48" hidden="1" x14ac:dyDescent="0.2">
      <c r="AU247" s="1"/>
      <c r="AV247" s="2"/>
    </row>
    <row r="248" spans="47:48" hidden="1" x14ac:dyDescent="0.2"/>
    <row r="249" spans="47:48" hidden="1" x14ac:dyDescent="0.2">
      <c r="AU249" s="1"/>
      <c r="AV249" s="2"/>
    </row>
    <row r="250" spans="47:48" hidden="1" x14ac:dyDescent="0.2">
      <c r="AU250" s="1"/>
      <c r="AV250" s="2"/>
    </row>
    <row r="251" spans="47:48" hidden="1" x14ac:dyDescent="0.2"/>
    <row r="252" spans="47:48" hidden="1" x14ac:dyDescent="0.2"/>
    <row r="253" spans="47:48" hidden="1" x14ac:dyDescent="0.2"/>
    <row r="254" spans="47:48" hidden="1" x14ac:dyDescent="0.2"/>
    <row r="255" spans="47:48" hidden="1" x14ac:dyDescent="0.2">
      <c r="AU255" s="1"/>
      <c r="AV255" s="2"/>
    </row>
    <row r="256" spans="47:48" hidden="1" x14ac:dyDescent="0.2"/>
    <row r="257" spans="47:48" hidden="1" x14ac:dyDescent="0.2">
      <c r="AU257" s="1"/>
      <c r="AV257" s="2"/>
    </row>
    <row r="258" spans="47:48" hidden="1" x14ac:dyDescent="0.2"/>
    <row r="259" spans="47:48" hidden="1" x14ac:dyDescent="0.2"/>
    <row r="260" spans="47:48" hidden="1" x14ac:dyDescent="0.2"/>
  </sheetData>
  <autoFilter ref="A1:BA260" xr:uid="{E6CDDC18-94C4-CD43-B051-7C27A5ED435E}">
    <filterColumn colId="7">
      <filters>
        <filter val="FHBD3G"/>
      </filters>
    </filterColumn>
  </autoFilter>
  <sortState xmlns:xlrd2="http://schemas.microsoft.com/office/spreadsheetml/2017/richdata2" ref="A2:AX259">
    <sortCondition descending="1" ref="O2:O259"/>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SigLoci|Trait</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Leah Kay Treffer</cp:lastModifiedBy>
  <dcterms:modified xsi:type="dcterms:W3CDTF">2025-12-17T04:03:53Z</dcterms:modified>
</cp:coreProperties>
</file>